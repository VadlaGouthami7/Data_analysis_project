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uthami_FinancialKPI_Assignment\EXCEL\"/>
    </mc:Choice>
  </mc:AlternateContent>
  <xr:revisionPtr revIDLastSave="0" documentId="8_{AD079E34-08F2-4D68-990C-3B743F3798E1}" xr6:coauthVersionLast="47" xr6:coauthVersionMax="47" xr10:uidLastSave="{00000000-0000-0000-0000-000000000000}"/>
  <bookViews>
    <workbookView xWindow="-108" yWindow="-108" windowWidth="23256" windowHeight="13896" activeTab="1" xr2:uid="{CD6AAA38-9815-4FDA-A135-CC50EE15F333}"/>
  </bookViews>
  <sheets>
    <sheet name="finance_clean" sheetId="1" r:id="rId1"/>
    <sheet name="REPORT" sheetId="2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H29" i="2" l="1"/>
  <c r="H27" i="2"/>
  <c r="H26" i="2"/>
  <c r="H25" i="2"/>
  <c r="H23" i="2"/>
  <c r="H22" i="2"/>
  <c r="H19" i="2"/>
  <c r="H18" i="2"/>
</calcChain>
</file>

<file path=xl/sharedStrings.xml><?xml version="1.0" encoding="utf-8"?>
<sst xmlns="http://schemas.openxmlformats.org/spreadsheetml/2006/main" count="639" uniqueCount="188">
  <si>
    <t>Transaction_ID</t>
  </si>
  <si>
    <t>Trans_Date</t>
  </si>
  <si>
    <t>Department</t>
  </si>
  <si>
    <t>Cost_Center</t>
  </si>
  <si>
    <t>Budget_Revenue</t>
  </si>
  <si>
    <t>Actual_Revenue</t>
  </si>
  <si>
    <t>Budget_Expense</t>
  </si>
  <si>
    <t>Actual_Expense</t>
  </si>
  <si>
    <t>Region</t>
  </si>
  <si>
    <t>Revenue_Variance</t>
  </si>
  <si>
    <t>Expense_Variance</t>
  </si>
  <si>
    <t>Profit</t>
  </si>
  <si>
    <t>profit_margin</t>
  </si>
  <si>
    <t>m_onth</t>
  </si>
  <si>
    <t>TXN001</t>
  </si>
  <si>
    <t>Sales</t>
  </si>
  <si>
    <t>CC1001</t>
  </si>
  <si>
    <t>South</t>
  </si>
  <si>
    <t>TXN002</t>
  </si>
  <si>
    <t>Marketing</t>
  </si>
  <si>
    <t>CC1002</t>
  </si>
  <si>
    <t>TXN003</t>
  </si>
  <si>
    <t>Operations</t>
  </si>
  <si>
    <t>CC1003</t>
  </si>
  <si>
    <t>TXN004</t>
  </si>
  <si>
    <t>IT</t>
  </si>
  <si>
    <t>CC1004</t>
  </si>
  <si>
    <t>TXN005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</si>
  <si>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</si>
  <si>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</si>
  <si>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</si>
  <si>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</si>
  <si>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</si>
  <si>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</si>
  <si>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</si>
  <si>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</si>
  <si>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</si>
  <si>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</si>
  <si>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</si>
  <si>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</si>
  <si>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</si>
  <si>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</si>
  <si>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</si>
  <si>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</si>
  <si>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</si>
  <si>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</si>
  <si>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</si>
  <si>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</si>
  <si>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</si>
  <si>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</si>
  <si>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</si>
  <si>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</si>
  <si>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</si>
  <si>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</si>
  <si>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</si>
  <si>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</si>
  <si>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</si>
  <si>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</si>
  <si>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</si>
  <si>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</si>
  <si>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</si>
  <si>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</si>
  <si>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</si>
  <si>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</si>
  <si>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</si>
  <si>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</si>
  <si>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</si>
  <si>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</si>
  <si>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</si>
  <si>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</si>
  <si>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</si>
  <si>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</si>
  <si>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</si>
  <si>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</si>
  <si>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</si>
  <si>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</si>
  <si>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</si>
  <si>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</si>
  <si>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</si>
  <si>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</si>
  <si>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</si>
  <si>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</si>
  <si>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</si>
  <si>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</si>
  <si>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</si>
  <si>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</si>
  <si>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</si>
  <si>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</si>
  <si>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</si>
  <si>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</si>
  <si>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</si>
  <si>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</si>
  <si>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</si>
  <si>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</si>
  <si>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</si>
  <si>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</si>
  <si>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</si>
  <si>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</si>
  <si>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</si>
  <si>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</si>
  <si>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</si>
  <si>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</si>
  <si>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</si>
  <si>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</si>
  <si>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</si>
  <si>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</si>
  <si>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</si>
  <si>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</si>
  <si>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</si>
  <si>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</si>
  <si>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</si>
  <si>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</si>
  <si>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</si>
  <si>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</si>
  <si>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</si>
  <si>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</si>
  <si>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</si>
  <si>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</si>
  <si>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</si>
  <si>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</si>
  <si>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</si>
  <si>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</si>
  <si>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</si>
  <si>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</si>
  <si>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</si>
  <si>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</si>
  <si>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</si>
  <si>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</si>
  <si>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</si>
  <si>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</si>
  <si>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</si>
  <si>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</si>
  <si>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</si>
  <si>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</si>
  <si>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</si>
  <si>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</si>
  <si>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</si>
  <si>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</si>
  <si>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</si>
  <si>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</si>
  <si>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</si>
  <si>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</si>
  <si>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</si>
  <si>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</si>
  <si>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</si>
  <si>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</si>
  <si>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</si>
  <si>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</si>
  <si>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</si>
  <si>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</si>
  <si>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</si>
  <si>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</si>
  <si>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</si>
  <si>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</si>
  <si>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</si>
  <si>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</si>
  <si>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</si>
  <si>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</si>
  <si>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</si>
  <si>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</si>
  <si>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</si>
  <si>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</si>
  <si>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</si>
  <si>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</si>
  <si>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</si>
  <si>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</si>
  <si>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</si>
  <si>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Row Labels</t>
  </si>
  <si>
    <t>Grand Total</t>
  </si>
  <si>
    <t>Sum of Revenue_Variance</t>
  </si>
  <si>
    <t>Sum of Expense_Variance</t>
  </si>
  <si>
    <t>Sum of Budget_Revenue</t>
  </si>
  <si>
    <t>Sum of Actual_Revenue</t>
  </si>
  <si>
    <t>Pivot table showing Expense Variance by Department.</t>
  </si>
  <si>
    <t>Line chart showing Monthly Revenue vs Budget.</t>
  </si>
  <si>
    <t>Pivot table showing Revenue Variance by Department.</t>
  </si>
  <si>
    <t>KPI summary section (Total Revenue, Total Expense, Profit Margin, Variance %).</t>
  </si>
  <si>
    <t>TOTAL_REVENUE</t>
  </si>
  <si>
    <t>Column1</t>
  </si>
  <si>
    <t>TOTAL_BUDGET_REVENUE</t>
  </si>
  <si>
    <t>TOTAL_ACTUAL_REVENUE</t>
  </si>
  <si>
    <t>TOTAL_EXPENSE</t>
  </si>
  <si>
    <t>TOTAL_BUDGET_EXPENSE</t>
  </si>
  <si>
    <t>TOTAL_ACTUAL_EXPENSE</t>
  </si>
  <si>
    <t>Overall Revenue Variance</t>
  </si>
  <si>
    <t>Overall Expense Variance</t>
  </si>
  <si>
    <t>VARIANCE %</t>
  </si>
  <si>
    <t>AVG_PROFIT_MARGIN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</si>
</sst>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sz val="11"/>
      <color theme="7" tint="0.39997558519241921"/>
      <name val="Cambria"/>
      <family val="1"/>
    </font>
    <font>
      <sz val="11"/>
      <color theme="7" tint="0.39997558519241921"/>
      <name val="Calibri"/>
      <family val="2"/>
      <scheme val="minor"/>
    </font>
    <font>
      <sz val="11"/>
      <color rgb="FF00B0F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18" fillId="0" borderId="0" xfId="0" applyFont="1"/>
    <xf numFmtId="0" fontId="20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36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[EXCEL_FINANCIAL_REPORT.xlsx]REPORT!PivotTable3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896464646464652E-2"/>
              <c:y val="-4.6583850931677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739898989898989E-2"/>
              <c:y val="-9.31677018633540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0366161616161613E-2"/>
              <c:y val="-8.79917184265010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0366161616161613E-2"/>
              <c:y val="-3.6231884057971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7209595959595964E-2"/>
              <c:y val="-8.7991718426501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4053030303030301E-2"/>
              <c:y val="-3.6231884057971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9"/>
          <c:y val="0.10185185185185185"/>
          <c:w val="0.47686351706036745"/>
          <c:h val="0.75010279965004378"/>
        </c:manualLayout>
      </c:layout>
      <c:lineChart>
        <c:grouping val="stacked"/>
        <c:varyColors val="0"/>
        <c:ser>
          <c:idx val="0"/>
          <c:order val="0"/>
          <c:tx>
            <c:strRef>
              <c:f>REPORT!$B$12</c:f>
              <c:strCache>
                <c:ptCount val="1"/>
                <c:pt idx="0">
                  <c:v>Sum of Actual_Revenue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0366161616161613E-2"/>
                  <c:y val="-8.7991718426501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88-4F42-8B7C-FEC25E07AFD1}"/>
                </c:ext>
              </c:extLst>
            </c:dLbl>
            <c:dLbl>
              <c:idx val="1"/>
              <c:layout>
                <c:manualLayout>
                  <c:x val="-6.7739898989898989E-2"/>
                  <c:y val="-9.3167701863354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88-4F42-8B7C-FEC25E07AFD1}"/>
                </c:ext>
              </c:extLst>
            </c:dLbl>
            <c:dLbl>
              <c:idx val="2"/>
              <c:layout>
                <c:manualLayout>
                  <c:x val="-7.0896464646464652E-2"/>
                  <c:y val="-4.6583850931677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88-4F42-8B7C-FEC25E07A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REPORT!$A$13:$A$16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REPORT!$B$13:$B$16</c:f>
              <c:numCache>
                <c:formatCode>General</c:formatCode>
                <c:ptCount val="3"/>
                <c:pt idx="0">
                  <c:v>5277560</c:v>
                </c:pt>
                <c:pt idx="1">
                  <c:v>4784820</c:v>
                </c:pt>
                <c:pt idx="2">
                  <c:v>5405424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8-4F42-8B7C-FEC25E07AFD1}"/>
            </c:ext>
          </c:extLst>
        </c:ser>
        <c:ser>
          <c:idx val="1"/>
          <c:order val="1"/>
          <c:tx>
            <c:strRef>
              <c:f>REPORT!$C$12</c:f>
              <c:strCache>
                <c:ptCount val="1"/>
                <c:pt idx="0">
                  <c:v>Sum of Budget_Revenue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0366161616161613E-2"/>
                  <c:y val="-3.6231884057971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88-4F42-8B7C-FEC25E07AFD1}"/>
                </c:ext>
              </c:extLst>
            </c:dLbl>
            <c:dLbl>
              <c:idx val="1"/>
              <c:layout>
                <c:manualLayout>
                  <c:x val="-7.7209595959595964E-2"/>
                  <c:y val="-8.7991718426501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88-4F42-8B7C-FEC25E07AFD1}"/>
                </c:ext>
              </c:extLst>
            </c:dLbl>
            <c:dLbl>
              <c:idx val="2"/>
              <c:layout>
                <c:manualLayout>
                  <c:x val="-7.4053030303030301E-2"/>
                  <c:y val="-3.6231884057971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88-4F42-8B7C-FEC25E07A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REPORT!$A$13:$A$16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REPORT!$C$13:$C$16</c:f>
              <c:numCache>
                <c:formatCode>General</c:formatCode>
                <c:ptCount val="3"/>
                <c:pt idx="0">
                  <c:v>5318000</c:v>
                </c:pt>
                <c:pt idx="1">
                  <c:v>4835080</c:v>
                </c:pt>
                <c:pt idx="2">
                  <c:v>5436600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8-4F42-8B7C-FEC25E07AF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879376"/>
        <c:axId val="819363568"/>
      </c:lineChart>
      <c:catAx>
        <c:axId val="7968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63568"/>
        <c:crosses val="autoZero"/>
        <c:auto val="1"/>
        <c:lblAlgn val="ctr"/>
        <c:lblOffset val="100"/>
        <c:noMultiLvlLbl val="0"/>
      </c:catAx>
      <c:valAx>
        <c:axId val="8193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16</xdr:row>
      <xdr:rowOff>76200</xdr:rowOff>
    </xdr:from>
    <xdr:to>
      <xdr:col>3</xdr:col>
      <xdr:colOff>53340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CC4BD2-4E9C-BA4A-52CE-C9EE4D986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th" refreshedDate="46278.853262500001" createdVersion="8" refreshedVersion="8" minRefreshableVersion="3" recordCount="148" xr:uid="{8A3F4062-E06A-474A-8A0C-5C7391771374}">
  <cacheSource type="worksheet">
    <worksheetSource ref="B1:O149" sheet="finance_clean"/>
  </cacheSource>
  <cacheFields count="14">
    <cacheField name="Transaction_ID" numFmtId="0">
      <sharedItems/>
    </cacheField>
    <cacheField name="Trans_Date" numFmtId="14">
      <sharedItems containsSemiMixedTypes="0" containsNonDate="0" containsDate="1" containsString="0" minDate="2024-02-01T00:00:00" maxDate="2025-03-13T00:00:00"/>
    </cacheField>
    <cacheField name="Department" numFmtId="0">
      <sharedItems count="4">
        <s v="Sales"/>
        <s v="Marketing"/>
        <s v="Operations"/>
        <s v="IT"/>
      </sharedItems>
    </cacheField>
    <cacheField name="Cost_Center" numFmtId="0">
      <sharedItems/>
    </cacheField>
    <cacheField name="Budget_Revenue" numFmtId="0">
      <sharedItems containsSemiMixedTypes="0" containsString="0" containsNumber="1" containsInteger="1" minValue="70000" maxValue="175000" count="121">
        <n v="120000"/>
        <n v="80000"/>
        <n v="95000"/>
        <n v="70000"/>
        <n v="125000"/>
        <n v="82000"/>
        <n v="98000"/>
        <n v="72000"/>
        <n v="130000"/>
        <n v="85000"/>
        <n v="100000"/>
        <n v="75000"/>
        <n v="135000"/>
        <n v="88000"/>
        <n v="105000"/>
        <n v="78000"/>
        <n v="140000"/>
        <n v="90000"/>
        <n v="110000"/>
        <n v="145000"/>
        <n v="92000"/>
        <n v="115000"/>
        <n v="150000"/>
        <n v="155000"/>
        <n v="160000"/>
        <n v="165000"/>
        <n v="102000"/>
        <n v="170000"/>
        <n v="175000"/>
        <n v="108000"/>
        <n v="121440"/>
        <n v="80960"/>
        <n v="96140"/>
        <n v="70840"/>
        <n v="122880"/>
        <n v="81920"/>
        <n v="97280"/>
        <n v="71680"/>
        <n v="124320"/>
        <n v="82880"/>
        <n v="98420"/>
        <n v="72520"/>
        <n v="125760"/>
        <n v="83840"/>
        <n v="99560"/>
        <n v="73360"/>
        <n v="127200"/>
        <n v="84800"/>
        <n v="100700"/>
        <n v="74200"/>
        <n v="128640"/>
        <n v="85760"/>
        <n v="101840"/>
        <n v="75040"/>
        <n v="130080"/>
        <n v="86720"/>
        <n v="102980"/>
        <n v="75880"/>
        <n v="131520"/>
        <n v="87680"/>
        <n v="104120"/>
        <n v="76720"/>
        <n v="132960"/>
        <n v="88640"/>
        <n v="105260"/>
        <n v="77560"/>
        <n v="134400"/>
        <n v="89600"/>
        <n v="106400"/>
        <n v="78400"/>
        <n v="135840"/>
        <n v="90560"/>
        <n v="107540"/>
        <n v="79240"/>
        <n v="137280"/>
        <n v="91520"/>
        <n v="108680"/>
        <n v="80080"/>
        <n v="138720"/>
        <n v="92480"/>
        <n v="109820"/>
        <n v="80920"/>
        <n v="140160"/>
        <n v="93440"/>
        <n v="110960"/>
        <n v="81760"/>
        <n v="141600"/>
        <n v="94400"/>
        <n v="112100"/>
        <n v="82600"/>
        <n v="143040"/>
        <n v="95360"/>
        <n v="113240"/>
        <n v="83440"/>
        <n v="144480"/>
        <n v="96320"/>
        <n v="114380"/>
        <n v="84280"/>
        <n v="145920"/>
        <n v="115520"/>
        <n v="85120"/>
        <n v="147360"/>
        <n v="98240"/>
        <n v="116660"/>
        <n v="85960"/>
        <n v="148800"/>
        <n v="99200"/>
        <n v="117800"/>
        <n v="86800"/>
        <n v="142000"/>
        <n v="100160"/>
        <n v="118940"/>
        <n v="87640"/>
        <n v="151680"/>
        <n v="101120"/>
        <n v="120080"/>
        <n v="88480"/>
        <n v="153120"/>
        <n v="102080"/>
        <n v="121220"/>
        <n v="89320"/>
      </sharedItems>
    </cacheField>
    <cacheField name="Actual_Revenue" numFmtId="0">
      <sharedItems containsSemiMixedTypes="0" containsString="0" containsNumber="1" containsInteger="1" minValue="70000" maxValue="180000"/>
    </cacheField>
    <cacheField name="Budget_Expense" numFmtId="0">
      <sharedItems containsSemiMixedTypes="0" containsString="0" containsNumber="1" containsInteger="1" minValue="40000" maxValue="98000"/>
    </cacheField>
    <cacheField name="Actual_Expense" numFmtId="0">
      <sharedItems containsSemiMixedTypes="0" containsString="0" containsNumber="1" containsInteger="1" minValue="39000" maxValue="102000"/>
    </cacheField>
    <cacheField name="Region" numFmtId="0">
      <sharedItems/>
    </cacheField>
    <cacheField name="Revenue_Variance" numFmtId="0">
      <sharedItems containsSemiMixedTypes="0" containsString="0" containsNumber="1" containsInteger="1" minValue="-45720" maxValue="14660"/>
    </cacheField>
    <cacheField name="Expense_Variance" numFmtId="0">
      <sharedItems containsSemiMixedTypes="0" containsString="0" containsNumber="1" containsInteger="1" minValue="-4000" maxValue="18968"/>
    </cacheField>
    <cacheField name="Profit" numFmtId="0">
      <sharedItems containsSemiMixedTypes="0" containsString="0" containsNumber="1" containsInteger="1" minValue="14280" maxValue="78000"/>
    </cacheField>
    <cacheField name="profit_margin" numFmtId="0">
      <sharedItems containsSemiMixedTypes="0" containsString="0" containsNumber="1" minValue="0.14383561643835599" maxValue="0.53838596491227997"/>
    </cacheField>
    <cacheField name="m_onth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TXN001"/>
    <d v="2025-01-01T00:00:00"/>
    <x v="0"/>
    <s v="CC1001"/>
    <x v="0"/>
    <n v="115000"/>
    <n v="70000"/>
    <n v="68000"/>
    <s v="South"/>
    <n v="-5000"/>
    <n v="-2000"/>
    <n v="47000"/>
    <n v="0.40869565217391302"/>
    <x v="0"/>
  </r>
  <r>
    <s v="TXN002"/>
    <d v="2025-01-01T00:00:00"/>
    <x v="1"/>
    <s v="CC1002"/>
    <x v="1"/>
    <n v="85000"/>
    <n v="45000"/>
    <n v="52000"/>
    <s v="South"/>
    <n v="5000"/>
    <n v="7000"/>
    <n v="33000"/>
    <n v="0.38823529411764701"/>
    <x v="0"/>
  </r>
  <r>
    <s v="TXN003"/>
    <d v="2025-01-01T00:00:00"/>
    <x v="2"/>
    <s v="CC1003"/>
    <x v="2"/>
    <n v="99280"/>
    <n v="60000"/>
    <n v="62000"/>
    <s v="South"/>
    <n v="4280"/>
    <n v="2000"/>
    <n v="37280"/>
    <n v="0.375503626107977"/>
    <x v="0"/>
  </r>
  <r>
    <s v="TXN004"/>
    <d v="2025-01-01T00:00:00"/>
    <x v="3"/>
    <s v="CC1004"/>
    <x v="3"/>
    <n v="72000"/>
    <n v="40000"/>
    <n v="39000"/>
    <s v="South"/>
    <n v="2000"/>
    <n v="-1000"/>
    <n v="33000"/>
    <n v="0.45833333333333298"/>
    <x v="0"/>
  </r>
  <r>
    <s v="TXN005"/>
    <d v="2025-01-02T00:00:00"/>
    <x v="0"/>
    <s v="CC1001"/>
    <x v="4"/>
    <n v="130000"/>
    <n v="72000"/>
    <n v="75000"/>
    <s v="South"/>
    <n v="5000"/>
    <n v="3000"/>
    <n v="55000"/>
    <n v="0.42307692307692302"/>
    <x v="0"/>
  </r>
  <r>
    <s v="TXN006"/>
    <d v="2025-01-02T00:00:00"/>
    <x v="1"/>
    <s v="CC1002"/>
    <x v="5"/>
    <n v="78000"/>
    <n v="46000"/>
    <n v="44000"/>
    <s v="South"/>
    <n v="-4000"/>
    <n v="-2000"/>
    <n v="34000"/>
    <n v="0.43589743589743501"/>
    <x v="0"/>
  </r>
  <r>
    <s v="TXN007"/>
    <d v="2025-01-02T00:00:00"/>
    <x v="2"/>
    <s v="CC1003"/>
    <x v="6"/>
    <n v="102000"/>
    <n v="61000"/>
    <n v="68000"/>
    <s v="South"/>
    <n v="4000"/>
    <n v="7000"/>
    <n v="34000"/>
    <n v="0.33333333333333298"/>
    <x v="0"/>
  </r>
  <r>
    <s v="TXN008"/>
    <d v="2025-01-02T00:00:00"/>
    <x v="3"/>
    <s v="CC1004"/>
    <x v="7"/>
    <n v="70000"/>
    <n v="41000"/>
    <n v="43000"/>
    <s v="South"/>
    <n v="-2000"/>
    <n v="2000"/>
    <n v="27000"/>
    <n v="0.38571428571428501"/>
    <x v="0"/>
  </r>
  <r>
    <s v="TXN009"/>
    <d v="2025-01-03T00:00:00"/>
    <x v="0"/>
    <s v="CC1001"/>
    <x v="8"/>
    <n v="128000"/>
    <n v="75000"/>
    <n v="73000"/>
    <s v="South"/>
    <n v="-2000"/>
    <n v="-2000"/>
    <n v="55000"/>
    <n v="0.4296875"/>
    <x v="0"/>
  </r>
  <r>
    <s v="TXN010"/>
    <d v="2025-01-03T00:00:00"/>
    <x v="1"/>
    <s v="CC1002"/>
    <x v="9"/>
    <n v="90000"/>
    <n v="48000"/>
    <n v="55000"/>
    <s v="South"/>
    <n v="5000"/>
    <n v="7000"/>
    <n v="35000"/>
    <n v="0.38888888888888801"/>
    <x v="0"/>
  </r>
  <r>
    <s v="TXN011"/>
    <d v="2025-01-03T00:00:00"/>
    <x v="2"/>
    <s v="CC1003"/>
    <x v="10"/>
    <n v="97000"/>
    <n v="60000"/>
    <n v="64000"/>
    <s v="South"/>
    <n v="-3000"/>
    <n v="4000"/>
    <n v="33000"/>
    <n v="0.34020618556700999"/>
    <x v="0"/>
  </r>
  <r>
    <s v="TXN012"/>
    <d v="2025-01-03T00:00:00"/>
    <x v="3"/>
    <s v="CC1004"/>
    <x v="11"/>
    <n v="76000"/>
    <n v="42000"/>
    <n v="41000"/>
    <s v="South"/>
    <n v="1000"/>
    <n v="-1000"/>
    <n v="35000"/>
    <n v="0.46052631578947301"/>
    <x v="0"/>
  </r>
  <r>
    <s v="TXN013"/>
    <d v="2025-01-04T00:00:00"/>
    <x v="0"/>
    <s v="CC1001"/>
    <x v="12"/>
    <n v="140000"/>
    <n v="78000"/>
    <n v="80000"/>
    <s v="South"/>
    <n v="5000"/>
    <n v="2000"/>
    <n v="60000"/>
    <n v="0.42857142857142799"/>
    <x v="0"/>
  </r>
  <r>
    <s v="TXN014"/>
    <d v="2025-01-04T00:00:00"/>
    <x v="1"/>
    <s v="CC1002"/>
    <x v="13"/>
    <n v="86000"/>
    <n v="50000"/>
    <n v="51000"/>
    <s v="South"/>
    <n v="-2000"/>
    <n v="1000"/>
    <n v="35000"/>
    <n v="0.40697674418604601"/>
    <x v="0"/>
  </r>
  <r>
    <s v="TXN015"/>
    <d v="2025-01-04T00:00:00"/>
    <x v="2"/>
    <s v="CC1003"/>
    <x v="14"/>
    <n v="101000"/>
    <n v="65000"/>
    <n v="70000"/>
    <s v="South"/>
    <n v="-4000"/>
    <n v="5000"/>
    <n v="31000"/>
    <n v="0.30693069306930598"/>
    <x v="0"/>
  </r>
  <r>
    <s v="TXN016"/>
    <d v="2025-01-04T00:00:00"/>
    <x v="3"/>
    <s v="CC1004"/>
    <x v="15"/>
    <n v="81000"/>
    <n v="44000"/>
    <n v="45000"/>
    <s v="South"/>
    <n v="3000"/>
    <n v="1000"/>
    <n v="36000"/>
    <n v="0.44444444444444398"/>
    <x v="0"/>
  </r>
  <r>
    <s v="TXN017"/>
    <d v="2025-01-05T00:00:00"/>
    <x v="0"/>
    <s v="CC1001"/>
    <x v="16"/>
    <n v="138000"/>
    <n v="80000"/>
    <n v="79000"/>
    <s v="South"/>
    <n v="-2000"/>
    <n v="-1000"/>
    <n v="59000"/>
    <n v="0.42753623188405798"/>
    <x v="0"/>
  </r>
  <r>
    <s v="TXN018"/>
    <d v="2025-01-05T00:00:00"/>
    <x v="1"/>
    <s v="CC1002"/>
    <x v="17"/>
    <n v="95000"/>
    <n v="52000"/>
    <n v="60000"/>
    <s v="South"/>
    <n v="5000"/>
    <n v="8000"/>
    <n v="35000"/>
    <n v="0.36842105263157798"/>
    <x v="0"/>
  </r>
  <r>
    <s v="TXN019"/>
    <d v="2025-01-05T00:00:00"/>
    <x v="2"/>
    <s v="CC1003"/>
    <x v="18"/>
    <n v="108000"/>
    <n v="68000"/>
    <n v="72000"/>
    <s v="South"/>
    <n v="-2000"/>
    <n v="4000"/>
    <n v="36000"/>
    <n v="0.33333333333333298"/>
    <x v="0"/>
  </r>
  <r>
    <s v="TXN020"/>
    <d v="2025-01-05T00:00:00"/>
    <x v="3"/>
    <s v="CC1004"/>
    <x v="1"/>
    <n v="79000"/>
    <n v="45000"/>
    <n v="46000"/>
    <s v="South"/>
    <n v="-1000"/>
    <n v="1000"/>
    <n v="33000"/>
    <n v="0.417721518987341"/>
    <x v="0"/>
  </r>
  <r>
    <s v="TXN021"/>
    <d v="2025-01-06T00:00:00"/>
    <x v="0"/>
    <s v="CC1001"/>
    <x v="19"/>
    <n v="99280"/>
    <n v="82000"/>
    <n v="85000"/>
    <s v="South"/>
    <n v="-45720"/>
    <n v="3000"/>
    <n v="14280"/>
    <n v="0.14383561643835599"/>
    <x v="0"/>
  </r>
  <r>
    <s v="TXN022"/>
    <d v="2025-01-06T00:00:00"/>
    <x v="1"/>
    <s v="CC1002"/>
    <x v="20"/>
    <n v="88000"/>
    <n v="54000"/>
    <n v="50000"/>
    <s v="South"/>
    <n v="-4000"/>
    <n v="-4000"/>
    <n v="38000"/>
    <n v="0.43181818181818099"/>
    <x v="0"/>
  </r>
  <r>
    <s v="TXN023"/>
    <d v="2025-01-06T00:00:00"/>
    <x v="2"/>
    <s v="CC1003"/>
    <x v="21"/>
    <n v="112000"/>
    <n v="70000"/>
    <n v="74000"/>
    <s v="South"/>
    <n v="-3000"/>
    <n v="4000"/>
    <n v="38000"/>
    <n v="0.33928571428571402"/>
    <x v="0"/>
  </r>
  <r>
    <s v="TXN024"/>
    <d v="2025-01-06T00:00:00"/>
    <x v="3"/>
    <s v="CC1004"/>
    <x v="5"/>
    <n v="85000"/>
    <n v="47000"/>
    <n v="49000"/>
    <s v="South"/>
    <n v="3000"/>
    <n v="2000"/>
    <n v="36000"/>
    <n v="0.42352941176470499"/>
    <x v="0"/>
  </r>
  <r>
    <s v="TXN025"/>
    <d v="2025-01-07T00:00:00"/>
    <x v="0"/>
    <s v="CC1001"/>
    <x v="22"/>
    <n v="147000"/>
    <n v="85000"/>
    <n v="83000"/>
    <s v="South"/>
    <n v="-3000"/>
    <n v="-2000"/>
    <n v="64000"/>
    <n v="0.43537414965986299"/>
    <x v="0"/>
  </r>
  <r>
    <s v="TXN026"/>
    <d v="2025-01-07T00:00:00"/>
    <x v="1"/>
    <s v="CC1002"/>
    <x v="2"/>
    <n v="98000"/>
    <n v="56000"/>
    <n v="64728"/>
    <s v="South"/>
    <n v="3000"/>
    <n v="8728"/>
    <n v="33272"/>
    <n v="0.33951020408163202"/>
    <x v="0"/>
  </r>
  <r>
    <s v="TXN027"/>
    <d v="2025-01-07T00:00:00"/>
    <x v="2"/>
    <s v="CC1003"/>
    <x v="0"/>
    <n v="118000"/>
    <n v="72000"/>
    <n v="78000"/>
    <s v="South"/>
    <n v="-2000"/>
    <n v="6000"/>
    <n v="40000"/>
    <n v="0.338983050847457"/>
    <x v="0"/>
  </r>
  <r>
    <s v="TXN028"/>
    <d v="2025-01-07T00:00:00"/>
    <x v="3"/>
    <s v="CC1004"/>
    <x v="9"/>
    <n v="83000"/>
    <n v="48000"/>
    <n v="50000"/>
    <s v="South"/>
    <n v="-2000"/>
    <n v="2000"/>
    <n v="33000"/>
    <n v="0.39759036144578302"/>
    <x v="0"/>
  </r>
  <r>
    <s v="TXN029"/>
    <d v="2025-01-08T00:00:00"/>
    <x v="0"/>
    <s v="CC1001"/>
    <x v="23"/>
    <n v="160000"/>
    <n v="88000"/>
    <n v="90000"/>
    <s v="South"/>
    <n v="5000"/>
    <n v="2000"/>
    <n v="70000"/>
    <n v="0.4375"/>
    <x v="0"/>
  </r>
  <r>
    <s v="TXN030"/>
    <d v="2025-01-08T00:00:00"/>
    <x v="1"/>
    <s v="CC1002"/>
    <x v="6"/>
    <n v="92000"/>
    <n v="58000"/>
    <n v="55000"/>
    <s v="South"/>
    <n v="-6000"/>
    <n v="-3000"/>
    <n v="37000"/>
    <n v="0.40217391304347799"/>
    <x v="0"/>
  </r>
  <r>
    <s v="TXN031"/>
    <d v="2025-01-08T00:00:00"/>
    <x v="2"/>
    <s v="CC1003"/>
    <x v="4"/>
    <n v="121000"/>
    <n v="75000"/>
    <n v="79000"/>
    <s v="South"/>
    <n v="-4000"/>
    <n v="4000"/>
    <n v="42000"/>
    <n v="0.34710743801652799"/>
    <x v="0"/>
  </r>
  <r>
    <s v="TXN032"/>
    <d v="2025-01-08T00:00:00"/>
    <x v="3"/>
    <s v="CC1004"/>
    <x v="13"/>
    <n v="90000"/>
    <n v="50000"/>
    <n v="52000"/>
    <s v="South"/>
    <n v="2000"/>
    <n v="2000"/>
    <n v="38000"/>
    <n v="0.422222222222222"/>
    <x v="0"/>
  </r>
  <r>
    <s v="TXN033"/>
    <d v="2025-01-09T00:00:00"/>
    <x v="0"/>
    <s v="CC1001"/>
    <x v="24"/>
    <n v="158000"/>
    <n v="90000"/>
    <n v="88000"/>
    <s v="South"/>
    <n v="-2000"/>
    <n v="-2000"/>
    <n v="70000"/>
    <n v="0.443037974683544"/>
    <x v="0"/>
  </r>
  <r>
    <s v="TXN034"/>
    <d v="2025-01-09T00:00:00"/>
    <x v="1"/>
    <s v="CC1002"/>
    <x v="10"/>
    <n v="104000"/>
    <n v="60000"/>
    <n v="67000"/>
    <s v="South"/>
    <n v="4000"/>
    <n v="7000"/>
    <n v="37000"/>
    <n v="0.35576923076923"/>
    <x v="0"/>
  </r>
  <r>
    <s v="TXN035"/>
    <d v="2025-01-09T00:00:00"/>
    <x v="2"/>
    <s v="CC1003"/>
    <x v="8"/>
    <n v="126000"/>
    <n v="78000"/>
    <n v="83000"/>
    <s v="South"/>
    <n v="-4000"/>
    <n v="5000"/>
    <n v="43000"/>
    <n v="0.341269841269841"/>
    <x v="0"/>
  </r>
  <r>
    <s v="TXN036"/>
    <d v="2025-01-09T00:00:00"/>
    <x v="3"/>
    <s v="CC1004"/>
    <x v="17"/>
    <n v="87000"/>
    <n v="52000"/>
    <n v="51000"/>
    <s v="South"/>
    <n v="-3000"/>
    <n v="-1000"/>
    <n v="36000"/>
    <n v="0.41379310344827502"/>
    <x v="0"/>
  </r>
  <r>
    <s v="TXN037"/>
    <d v="2025-01-10T00:00:00"/>
    <x v="0"/>
    <s v="CC1001"/>
    <x v="25"/>
    <n v="170000"/>
    <n v="92000"/>
    <n v="95000"/>
    <s v="South"/>
    <n v="5000"/>
    <n v="3000"/>
    <n v="75000"/>
    <n v="0.441176470588235"/>
    <x v="0"/>
  </r>
  <r>
    <s v="TXN038"/>
    <d v="2025-01-10T00:00:00"/>
    <x v="1"/>
    <s v="CC1002"/>
    <x v="26"/>
    <n v="99000"/>
    <n v="62000"/>
    <n v="60000"/>
    <s v="South"/>
    <n v="-3000"/>
    <n v="-2000"/>
    <n v="39000"/>
    <n v="0.39393939393939298"/>
    <x v="0"/>
  </r>
  <r>
    <s v="TXN039"/>
    <d v="2025-01-10T00:00:00"/>
    <x v="2"/>
    <s v="CC1003"/>
    <x v="12"/>
    <n v="132000"/>
    <n v="80000"/>
    <n v="86000"/>
    <s v="South"/>
    <n v="-3000"/>
    <n v="6000"/>
    <n v="46000"/>
    <n v="0.34848484848484801"/>
    <x v="0"/>
  </r>
  <r>
    <s v="TXN040"/>
    <d v="2025-01-10T00:00:00"/>
    <x v="3"/>
    <s v="CC1004"/>
    <x v="20"/>
    <n v="95000"/>
    <n v="54000"/>
    <n v="57000"/>
    <s v="South"/>
    <n v="3000"/>
    <n v="3000"/>
    <n v="38000"/>
    <n v="0.4"/>
    <x v="0"/>
  </r>
  <r>
    <s v="TXN041"/>
    <d v="2025-01-11T00:00:00"/>
    <x v="0"/>
    <s v="CC1001"/>
    <x v="27"/>
    <n v="168000"/>
    <n v="95000"/>
    <n v="93000"/>
    <s v="South"/>
    <n v="-2000"/>
    <n v="-2000"/>
    <n v="75000"/>
    <n v="0.44642857142857101"/>
    <x v="0"/>
  </r>
  <r>
    <s v="TXN042"/>
    <d v="2025-01-11T00:00:00"/>
    <x v="1"/>
    <s v="CC1002"/>
    <x v="14"/>
    <n v="110000"/>
    <n v="64000"/>
    <n v="70000"/>
    <s v="South"/>
    <n v="5000"/>
    <n v="6000"/>
    <n v="40000"/>
    <n v="0.36363636363636298"/>
    <x v="0"/>
  </r>
  <r>
    <s v="TXN043"/>
    <d v="2025-01-11T00:00:00"/>
    <x v="2"/>
    <s v="CC1003"/>
    <x v="16"/>
    <n v="136000"/>
    <n v="82000"/>
    <n v="88000"/>
    <s v="South"/>
    <n v="-4000"/>
    <n v="6000"/>
    <n v="48000"/>
    <n v="0.35294117647058798"/>
    <x v="0"/>
  </r>
  <r>
    <s v="TXN044"/>
    <d v="2025-01-11T00:00:00"/>
    <x v="3"/>
    <s v="CC1004"/>
    <x v="2"/>
    <n v="93000"/>
    <n v="56000"/>
    <n v="55000"/>
    <s v="South"/>
    <n v="-2000"/>
    <n v="-1000"/>
    <n v="38000"/>
    <n v="0.40860215053763399"/>
    <x v="0"/>
  </r>
  <r>
    <s v="TXN045"/>
    <d v="2025-01-12T00:00:00"/>
    <x v="0"/>
    <s v="CC1001"/>
    <x v="28"/>
    <n v="180000"/>
    <n v="98000"/>
    <n v="102000"/>
    <s v="South"/>
    <n v="5000"/>
    <n v="4000"/>
    <n v="78000"/>
    <n v="0.43333333333333302"/>
    <x v="0"/>
  </r>
  <r>
    <s v="TXN046"/>
    <d v="2025-01-12T00:00:00"/>
    <x v="1"/>
    <s v="CC1002"/>
    <x v="29"/>
    <n v="106000"/>
    <n v="66000"/>
    <n v="65000"/>
    <s v="South"/>
    <n v="-2000"/>
    <n v="-1000"/>
    <n v="41000"/>
    <n v="0.38679245283018798"/>
    <x v="0"/>
  </r>
  <r>
    <s v="TXN047"/>
    <d v="2025-01-12T00:00:00"/>
    <x v="2"/>
    <s v="CC1003"/>
    <x v="19"/>
    <n v="150000"/>
    <n v="85000"/>
    <n v="95000"/>
    <s v="South"/>
    <n v="5000"/>
    <n v="10000"/>
    <n v="55000"/>
    <n v="0.36666666666666597"/>
    <x v="0"/>
  </r>
  <r>
    <s v="TXN048"/>
    <d v="2025-01-12T00:00:00"/>
    <x v="3"/>
    <s v="CC1004"/>
    <x v="6"/>
    <n v="100000"/>
    <n v="58000"/>
    <n v="61000"/>
    <s v="South"/>
    <n v="2000"/>
    <n v="3000"/>
    <n v="39000"/>
    <n v="0.39"/>
    <x v="0"/>
  </r>
  <r>
    <s v="TXN016"/>
    <d v="2025-02-04T00:00:00"/>
    <x v="3"/>
    <s v="CC1004"/>
    <x v="15"/>
    <n v="81000"/>
    <n v="44000"/>
    <n v="45000"/>
    <s v="South"/>
    <n v="3000"/>
    <n v="1000"/>
    <n v="36000"/>
    <n v="0.44444444444444398"/>
    <x v="1"/>
  </r>
  <r>
    <s v="TXN032"/>
    <d v="2025-02-08T00:00:00"/>
    <x v="3"/>
    <s v="CC1004"/>
    <x v="13"/>
    <n v="90000"/>
    <n v="50000"/>
    <n v="52000"/>
    <s v="South"/>
    <n v="2000"/>
    <n v="2000"/>
    <n v="38000"/>
    <n v="0.422222222222222"/>
    <x v="1"/>
  </r>
  <r>
    <s v="TXN1001"/>
    <d v="2024-02-01T00:00:00"/>
    <x v="0"/>
    <s v="CC1001"/>
    <x v="0"/>
    <n v="115000"/>
    <n v="70000"/>
    <n v="68000"/>
    <s v="South"/>
    <n v="-5000"/>
    <n v="-2000"/>
    <n v="47000"/>
    <n v="0.40869565217391302"/>
    <x v="1"/>
  </r>
  <r>
    <s v="TXN1002"/>
    <d v="2024-02-01T00:00:00"/>
    <x v="1"/>
    <s v="CC1002"/>
    <x v="1"/>
    <n v="85000"/>
    <n v="45000"/>
    <n v="52000"/>
    <s v="South"/>
    <n v="5000"/>
    <n v="7000"/>
    <n v="33000"/>
    <n v="0.38823529411764701"/>
    <x v="1"/>
  </r>
  <r>
    <s v="TXN1003"/>
    <d v="2024-02-01T00:00:00"/>
    <x v="2"/>
    <s v="CC1003"/>
    <x v="2"/>
    <n v="90000"/>
    <n v="60000"/>
    <n v="62000"/>
    <s v="South"/>
    <n v="-5000"/>
    <n v="2000"/>
    <n v="28000"/>
    <n v="0.31111111111111101"/>
    <x v="1"/>
  </r>
  <r>
    <s v="TXN1004"/>
    <d v="2024-02-01T00:00:00"/>
    <x v="3"/>
    <s v="CC1004"/>
    <x v="3"/>
    <n v="72000"/>
    <n v="40000"/>
    <n v="39000"/>
    <s v="South"/>
    <n v="2000"/>
    <n v="-1000"/>
    <n v="33000"/>
    <n v="0.45833333333333298"/>
    <x v="1"/>
  </r>
  <r>
    <s v="TXN1005"/>
    <d v="2024-02-02T00:00:00"/>
    <x v="0"/>
    <s v="CC1001"/>
    <x v="30"/>
    <n v="116380"/>
    <n v="70840"/>
    <n v="68816"/>
    <s v="South"/>
    <n v="-5060"/>
    <n v="-2024"/>
    <n v="47564"/>
    <n v="0.40869565217391302"/>
    <x v="1"/>
  </r>
  <r>
    <s v="TXN1006"/>
    <d v="2024-02-02T00:00:00"/>
    <x v="1"/>
    <s v="CC1002"/>
    <x v="31"/>
    <n v="86020"/>
    <n v="45540"/>
    <n v="52624"/>
    <s v="South"/>
    <n v="5060"/>
    <n v="7084"/>
    <n v="33396"/>
    <n v="0.38823529411764701"/>
    <x v="1"/>
  </r>
  <r>
    <s v="TXN1007"/>
    <d v="2024-02-02T00:00:00"/>
    <x v="2"/>
    <s v="CC1003"/>
    <x v="32"/>
    <n v="91080"/>
    <n v="60720"/>
    <n v="62744"/>
    <s v="South"/>
    <n v="-5060"/>
    <n v="2024"/>
    <n v="28336"/>
    <n v="0.31111111111111101"/>
    <x v="1"/>
  </r>
  <r>
    <s v="TXN1008"/>
    <d v="2024-02-02T00:00:00"/>
    <x v="3"/>
    <s v="CC1004"/>
    <x v="33"/>
    <n v="85500"/>
    <n v="40480"/>
    <n v="39468"/>
    <s v="South"/>
    <n v="14660"/>
    <n v="-1012"/>
    <n v="46032"/>
    <n v="0.53838596491227997"/>
    <x v="1"/>
  </r>
  <r>
    <s v="TXN1009"/>
    <d v="2024-02-03T00:00:00"/>
    <x v="0"/>
    <s v="CC1001"/>
    <x v="34"/>
    <n v="117760"/>
    <n v="71680"/>
    <n v="69632"/>
    <s v="South"/>
    <n v="-5120"/>
    <n v="-2048"/>
    <n v="48128"/>
    <n v="0.40869565217391302"/>
    <x v="1"/>
  </r>
  <r>
    <s v="TXN1010"/>
    <d v="2024-02-03T00:00:00"/>
    <x v="1"/>
    <s v="CC1002"/>
    <x v="35"/>
    <n v="87040"/>
    <n v="46080"/>
    <n v="53248"/>
    <s v="South"/>
    <n v="5120"/>
    <n v="7168"/>
    <n v="33792"/>
    <n v="0.38823529411764701"/>
    <x v="1"/>
  </r>
  <r>
    <s v="TXN1011"/>
    <d v="2024-02-03T00:00:00"/>
    <x v="2"/>
    <s v="CC1003"/>
    <x v="36"/>
    <n v="92160"/>
    <n v="61440"/>
    <n v="63488"/>
    <s v="South"/>
    <n v="-5120"/>
    <n v="2048"/>
    <n v="28672"/>
    <n v="0.31111111111111101"/>
    <x v="1"/>
  </r>
  <r>
    <s v="TXN1012"/>
    <d v="2024-02-03T00:00:00"/>
    <x v="3"/>
    <s v="CC1004"/>
    <x v="37"/>
    <n v="73728"/>
    <n v="40960"/>
    <n v="39936"/>
    <s v="South"/>
    <n v="2048"/>
    <n v="-1024"/>
    <n v="33792"/>
    <n v="0.45833333333333298"/>
    <x v="1"/>
  </r>
  <r>
    <s v="TXN1013"/>
    <d v="2024-02-04T00:00:00"/>
    <x v="0"/>
    <s v="CC1001"/>
    <x v="38"/>
    <n v="119140"/>
    <n v="72520"/>
    <n v="70448"/>
    <s v="South"/>
    <n v="-5180"/>
    <n v="-2072"/>
    <n v="48692"/>
    <n v="0.40869565217391302"/>
    <x v="1"/>
  </r>
  <r>
    <s v="TXN1014"/>
    <d v="2024-02-04T00:00:00"/>
    <x v="1"/>
    <s v="CC1002"/>
    <x v="39"/>
    <n v="88060"/>
    <n v="46620"/>
    <n v="53872"/>
    <s v="South"/>
    <n v="5180"/>
    <n v="7252"/>
    <n v="34188"/>
    <n v="0.38823529411764701"/>
    <x v="1"/>
  </r>
  <r>
    <s v="TXN1015"/>
    <d v="2024-02-04T00:00:00"/>
    <x v="2"/>
    <s v="CC1003"/>
    <x v="40"/>
    <n v="93240"/>
    <n v="62160"/>
    <n v="64232"/>
    <s v="South"/>
    <n v="-5180"/>
    <n v="2072"/>
    <n v="29008"/>
    <n v="0.31111111111111101"/>
    <x v="1"/>
  </r>
  <r>
    <s v="TXN1016"/>
    <d v="2024-02-04T00:00:00"/>
    <x v="3"/>
    <s v="CC1004"/>
    <x v="41"/>
    <n v="74592"/>
    <n v="41440"/>
    <n v="40404"/>
    <s v="South"/>
    <n v="2072"/>
    <n v="-1036"/>
    <n v="34188"/>
    <n v="0.45833333333333298"/>
    <x v="1"/>
  </r>
  <r>
    <s v="TXN1017"/>
    <d v="2024-02-05T00:00:00"/>
    <x v="0"/>
    <s v="CC1001"/>
    <x v="42"/>
    <n v="120520"/>
    <n v="73360"/>
    <n v="71264"/>
    <s v="South"/>
    <n v="-5240"/>
    <n v="-2096"/>
    <n v="49256"/>
    <n v="0.40869565217391302"/>
    <x v="1"/>
  </r>
  <r>
    <s v="TXN1018"/>
    <d v="2024-02-05T00:00:00"/>
    <x v="1"/>
    <s v="CC1002"/>
    <x v="43"/>
    <n v="89080"/>
    <n v="47160"/>
    <n v="54496"/>
    <s v="South"/>
    <n v="5240"/>
    <n v="7336"/>
    <n v="34584"/>
    <n v="0.38823529411764701"/>
    <x v="1"/>
  </r>
  <r>
    <s v="TXN1019"/>
    <d v="2024-02-05T00:00:00"/>
    <x v="2"/>
    <s v="CC1003"/>
    <x v="44"/>
    <n v="94320"/>
    <n v="60000"/>
    <n v="64976"/>
    <s v="South"/>
    <n v="-5240"/>
    <n v="4976"/>
    <n v="29344"/>
    <n v="0.31111111111111101"/>
    <x v="1"/>
  </r>
  <r>
    <s v="TXN1020"/>
    <d v="2024-02-05T00:00:00"/>
    <x v="3"/>
    <s v="CC1004"/>
    <x v="45"/>
    <n v="75456"/>
    <n v="41920"/>
    <n v="40872"/>
    <s v="South"/>
    <n v="2096"/>
    <n v="-1048"/>
    <n v="34584"/>
    <n v="0.45833333333333298"/>
    <x v="1"/>
  </r>
  <r>
    <s v="TXN1021"/>
    <d v="2024-02-06T00:00:00"/>
    <x v="0"/>
    <s v="CC1001"/>
    <x v="46"/>
    <n v="121900"/>
    <n v="74200"/>
    <n v="72080"/>
    <s v="South"/>
    <n v="-5300"/>
    <n v="-2120"/>
    <n v="49820"/>
    <n v="0.40869565217391302"/>
    <x v="1"/>
  </r>
  <r>
    <s v="TXN1022"/>
    <d v="2024-02-06T00:00:00"/>
    <x v="1"/>
    <s v="CC1002"/>
    <x v="47"/>
    <n v="90100"/>
    <n v="47700"/>
    <n v="55120"/>
    <s v="South"/>
    <n v="5300"/>
    <n v="7420"/>
    <n v="34980"/>
    <n v="0.38823529411764701"/>
    <x v="1"/>
  </r>
  <r>
    <s v="TXN1023"/>
    <d v="2024-02-06T00:00:00"/>
    <x v="2"/>
    <s v="CC1003"/>
    <x v="48"/>
    <n v="95400"/>
    <n v="63600"/>
    <n v="65720"/>
    <s v="South"/>
    <n v="-5300"/>
    <n v="2120"/>
    <n v="29680"/>
    <n v="0.31111111111111101"/>
    <x v="1"/>
  </r>
  <r>
    <s v="TXN1024"/>
    <d v="2024-02-06T00:00:00"/>
    <x v="3"/>
    <s v="CC1004"/>
    <x v="49"/>
    <n v="76320"/>
    <n v="42400"/>
    <n v="41340"/>
    <s v="South"/>
    <n v="2120"/>
    <n v="-1060"/>
    <n v="34980"/>
    <n v="0.45833333333333298"/>
    <x v="1"/>
  </r>
  <r>
    <s v="TXN1025"/>
    <d v="2024-02-07T00:00:00"/>
    <x v="0"/>
    <s v="CC1001"/>
    <x v="50"/>
    <n v="123280"/>
    <n v="75040"/>
    <n v="72896"/>
    <s v="South"/>
    <n v="-5360"/>
    <n v="-2144"/>
    <n v="50384"/>
    <n v="0.40869565217391302"/>
    <x v="1"/>
  </r>
  <r>
    <s v="TXN1026"/>
    <d v="2024-02-07T00:00:00"/>
    <x v="1"/>
    <s v="CC1002"/>
    <x v="51"/>
    <n v="91120"/>
    <n v="48240"/>
    <n v="55744"/>
    <s v="South"/>
    <n v="5360"/>
    <n v="7504"/>
    <n v="35376"/>
    <n v="0.38823529411764701"/>
    <x v="1"/>
  </r>
  <r>
    <s v="TXN1027"/>
    <d v="2024-02-07T00:00:00"/>
    <x v="2"/>
    <s v="CC1003"/>
    <x v="52"/>
    <n v="96480"/>
    <n v="64320"/>
    <n v="66464"/>
    <s v="South"/>
    <n v="-5360"/>
    <n v="2144"/>
    <n v="30016"/>
    <n v="0.31111111111111101"/>
    <x v="1"/>
  </r>
  <r>
    <s v="TXN1028"/>
    <d v="2024-02-07T00:00:00"/>
    <x v="3"/>
    <s v="CC1004"/>
    <x v="53"/>
    <n v="77184"/>
    <n v="42880"/>
    <n v="41808"/>
    <s v="South"/>
    <n v="2144"/>
    <n v="-1072"/>
    <n v="35376"/>
    <n v="0.45833333333333298"/>
    <x v="1"/>
  </r>
  <r>
    <s v="TXN1029"/>
    <d v="2024-02-08T00:00:00"/>
    <x v="0"/>
    <s v="CC1001"/>
    <x v="54"/>
    <n v="124660"/>
    <n v="75880"/>
    <n v="73712"/>
    <s v="South"/>
    <n v="-5420"/>
    <n v="-2168"/>
    <n v="50948"/>
    <n v="0.40869565217391302"/>
    <x v="1"/>
  </r>
  <r>
    <s v="TXN1030"/>
    <d v="2024-02-08T00:00:00"/>
    <x v="1"/>
    <s v="CC1002"/>
    <x v="55"/>
    <n v="92140"/>
    <n v="48780"/>
    <n v="65000"/>
    <s v="South"/>
    <n v="5420"/>
    <n v="16220"/>
    <n v="27140"/>
    <n v="0.29455176904710201"/>
    <x v="1"/>
  </r>
  <r>
    <s v="TXN1031"/>
    <d v="2024-02-08T00:00:00"/>
    <x v="2"/>
    <s v="CC1003"/>
    <x v="56"/>
    <n v="97560"/>
    <n v="65040"/>
    <n v="67208"/>
    <s v="South"/>
    <n v="-5420"/>
    <n v="2168"/>
    <n v="30352"/>
    <n v="0.31111111111111101"/>
    <x v="1"/>
  </r>
  <r>
    <s v="TXN1032"/>
    <d v="2024-02-08T00:00:00"/>
    <x v="3"/>
    <s v="CC1004"/>
    <x v="57"/>
    <n v="78048"/>
    <n v="43360"/>
    <n v="42276"/>
    <s v="South"/>
    <n v="2168"/>
    <n v="-1084"/>
    <n v="35772"/>
    <n v="0.45833333333333298"/>
    <x v="1"/>
  </r>
  <r>
    <s v="TXN1033"/>
    <d v="2024-02-09T00:00:00"/>
    <x v="0"/>
    <s v="CC1001"/>
    <x v="58"/>
    <n v="126040"/>
    <n v="76720"/>
    <n v="74528"/>
    <s v="South"/>
    <n v="-5480"/>
    <n v="-2192"/>
    <n v="51512"/>
    <n v="0.40869565217391302"/>
    <x v="1"/>
  </r>
  <r>
    <s v="TXN1034"/>
    <d v="2024-02-09T00:00:00"/>
    <x v="1"/>
    <s v="CC1002"/>
    <x v="59"/>
    <n v="93160"/>
    <n v="49320"/>
    <n v="56992"/>
    <s v="South"/>
    <n v="5480"/>
    <n v="7672"/>
    <n v="36168"/>
    <n v="0.38823529411764701"/>
    <x v="1"/>
  </r>
  <r>
    <s v="TXN1035"/>
    <d v="2024-02-09T00:00:00"/>
    <x v="2"/>
    <s v="CC1003"/>
    <x v="60"/>
    <n v="98640"/>
    <n v="65760"/>
    <n v="67952"/>
    <s v="South"/>
    <n v="-5480"/>
    <n v="2192"/>
    <n v="30688"/>
    <n v="0.31111111111111101"/>
    <x v="1"/>
  </r>
  <r>
    <s v="TXN1036"/>
    <d v="2024-02-09T00:00:00"/>
    <x v="3"/>
    <s v="CC1004"/>
    <x v="61"/>
    <n v="78912"/>
    <n v="43840"/>
    <n v="42744"/>
    <s v="South"/>
    <n v="2192"/>
    <n v="-1096"/>
    <n v="36168"/>
    <n v="0.45833333333333298"/>
    <x v="1"/>
  </r>
  <r>
    <s v="TXN1037"/>
    <d v="2024-02-10T00:00:00"/>
    <x v="0"/>
    <s v="CC1001"/>
    <x v="62"/>
    <n v="127420"/>
    <n v="77560"/>
    <n v="75344"/>
    <s v="South"/>
    <n v="-5540"/>
    <n v="-2216"/>
    <n v="52076"/>
    <n v="0.40869565217391302"/>
    <x v="1"/>
  </r>
  <r>
    <s v="TXN1038"/>
    <d v="2024-02-10T00:00:00"/>
    <x v="1"/>
    <s v="CC1002"/>
    <x v="63"/>
    <n v="94180"/>
    <n v="49860"/>
    <n v="57616"/>
    <s v="South"/>
    <n v="5540"/>
    <n v="7756"/>
    <n v="36564"/>
    <n v="0.38823529411764701"/>
    <x v="1"/>
  </r>
  <r>
    <s v="TXN1039"/>
    <d v="2024-02-10T00:00:00"/>
    <x v="2"/>
    <s v="CC1003"/>
    <x v="64"/>
    <n v="99720"/>
    <n v="66480"/>
    <n v="68696"/>
    <s v="South"/>
    <n v="-5540"/>
    <n v="2216"/>
    <n v="31024"/>
    <n v="0.31111111111111101"/>
    <x v="1"/>
  </r>
  <r>
    <s v="TXN1040"/>
    <d v="2024-02-10T00:00:00"/>
    <x v="3"/>
    <s v="CC1004"/>
    <x v="65"/>
    <n v="79776"/>
    <n v="44320"/>
    <n v="43212"/>
    <s v="South"/>
    <n v="2216"/>
    <n v="-1108"/>
    <n v="36564"/>
    <n v="0.45833333333333298"/>
    <x v="1"/>
  </r>
  <r>
    <s v="TXN1041"/>
    <d v="2024-02-11T00:00:00"/>
    <x v="0"/>
    <s v="CC1001"/>
    <x v="66"/>
    <n v="99280"/>
    <n v="78400"/>
    <n v="76160"/>
    <s v="South"/>
    <n v="-35120"/>
    <n v="-2240"/>
    <n v="23120"/>
    <n v="0.232876712328767"/>
    <x v="1"/>
  </r>
  <r>
    <s v="TXN1042"/>
    <d v="2024-02-11T00:00:00"/>
    <x v="1"/>
    <s v="CC1002"/>
    <x v="67"/>
    <n v="95200"/>
    <n v="50400"/>
    <n v="58240"/>
    <s v="South"/>
    <n v="5600"/>
    <n v="7840"/>
    <n v="36960"/>
    <n v="0.38823529411764701"/>
    <x v="1"/>
  </r>
  <r>
    <s v="TXN1043"/>
    <d v="2024-02-11T00:00:00"/>
    <x v="2"/>
    <s v="CC1003"/>
    <x v="68"/>
    <n v="100800"/>
    <n v="67200"/>
    <n v="69440"/>
    <s v="South"/>
    <n v="-5600"/>
    <n v="2240"/>
    <n v="31360"/>
    <n v="0.31111111111111101"/>
    <x v="1"/>
  </r>
  <r>
    <s v="TXN1044"/>
    <d v="2024-02-11T00:00:00"/>
    <x v="3"/>
    <s v="CC1004"/>
    <x v="69"/>
    <n v="80640"/>
    <n v="44800"/>
    <n v="43680"/>
    <s v="South"/>
    <n v="2240"/>
    <n v="-1120"/>
    <n v="36960"/>
    <n v="0.45833333333333298"/>
    <x v="1"/>
  </r>
  <r>
    <s v="TXN1045"/>
    <d v="2024-02-12T00:00:00"/>
    <x v="0"/>
    <s v="CC1001"/>
    <x v="70"/>
    <n v="130180"/>
    <n v="79240"/>
    <n v="76976"/>
    <s v="South"/>
    <n v="-5660"/>
    <n v="-2264"/>
    <n v="53204"/>
    <n v="0.40869565217391302"/>
    <x v="1"/>
  </r>
  <r>
    <s v="TXN1046"/>
    <d v="2024-02-12T00:00:00"/>
    <x v="1"/>
    <s v="CC1002"/>
    <x v="71"/>
    <n v="96220"/>
    <n v="50940"/>
    <n v="58864"/>
    <s v="South"/>
    <n v="5660"/>
    <n v="7924"/>
    <n v="37356"/>
    <n v="0.38823529411764701"/>
    <x v="1"/>
  </r>
  <r>
    <s v="TXN1047"/>
    <d v="2024-02-12T00:00:00"/>
    <x v="2"/>
    <s v="CC1003"/>
    <x v="72"/>
    <n v="101880"/>
    <n v="67920"/>
    <n v="70184"/>
    <s v="South"/>
    <n v="-5660"/>
    <n v="2264"/>
    <n v="31696"/>
    <n v="0.31111111111111101"/>
    <x v="1"/>
  </r>
  <r>
    <s v="TXN1048"/>
    <d v="2024-02-12T00:00:00"/>
    <x v="3"/>
    <s v="CC1004"/>
    <x v="73"/>
    <n v="81504"/>
    <n v="45280"/>
    <n v="44148"/>
    <s v="South"/>
    <n v="2264"/>
    <n v="-1132"/>
    <n v="37356"/>
    <n v="0.45833333333333298"/>
    <x v="1"/>
  </r>
  <r>
    <s v="TXN1049"/>
    <d v="2025-03-01T00:00:00"/>
    <x v="0"/>
    <s v="CC1001"/>
    <x v="74"/>
    <n v="131560"/>
    <n v="80080"/>
    <n v="77792"/>
    <s v="South"/>
    <n v="-5720"/>
    <n v="-2288"/>
    <n v="53768"/>
    <n v="0.40869565217391302"/>
    <x v="2"/>
  </r>
  <r>
    <s v="TXN1050"/>
    <d v="2025-03-01T00:00:00"/>
    <x v="1"/>
    <s v="CC1002"/>
    <x v="75"/>
    <n v="97240"/>
    <n v="51480"/>
    <n v="59488"/>
    <s v="South"/>
    <n v="5720"/>
    <n v="8008"/>
    <n v="37752"/>
    <n v="0.38823529411764701"/>
    <x v="2"/>
  </r>
  <r>
    <s v="TXN1051"/>
    <d v="2025-03-01T00:00:00"/>
    <x v="2"/>
    <s v="CC1003"/>
    <x v="76"/>
    <n v="102960"/>
    <n v="68640"/>
    <n v="70928"/>
    <s v="South"/>
    <n v="-5720"/>
    <n v="2288"/>
    <n v="32032"/>
    <n v="0.31111111111111101"/>
    <x v="2"/>
  </r>
  <r>
    <s v="TXN1052"/>
    <d v="2025-03-01T00:00:00"/>
    <x v="3"/>
    <s v="CC1004"/>
    <x v="77"/>
    <n v="82368"/>
    <n v="45760"/>
    <n v="64728"/>
    <s v="South"/>
    <n v="2288"/>
    <n v="18968"/>
    <n v="17640"/>
    <n v="0.214160839160839"/>
    <x v="2"/>
  </r>
  <r>
    <s v="TXN1053"/>
    <d v="2025-03-02T00:00:00"/>
    <x v="0"/>
    <s v="CC1001"/>
    <x v="78"/>
    <n v="132940"/>
    <n v="80920"/>
    <n v="78608"/>
    <s v="South"/>
    <n v="-5780"/>
    <n v="-2312"/>
    <n v="54332"/>
    <n v="0.40869565217391302"/>
    <x v="2"/>
  </r>
  <r>
    <s v="TXN1054"/>
    <d v="2025-03-02T00:00:00"/>
    <x v="1"/>
    <s v="CC1002"/>
    <x v="79"/>
    <n v="98260"/>
    <n v="52020"/>
    <n v="60112"/>
    <s v="South"/>
    <n v="5780"/>
    <n v="8092"/>
    <n v="38148"/>
    <n v="0.38823529411764701"/>
    <x v="2"/>
  </r>
  <r>
    <s v="TXN1055"/>
    <d v="2025-03-02T00:00:00"/>
    <x v="2"/>
    <s v="CC1003"/>
    <x v="80"/>
    <n v="104040"/>
    <n v="69360"/>
    <n v="71672"/>
    <s v="South"/>
    <n v="-5780"/>
    <n v="2312"/>
    <n v="32368"/>
    <n v="0.31111111111111101"/>
    <x v="2"/>
  </r>
  <r>
    <s v="TXN1056"/>
    <d v="2025-03-02T00:00:00"/>
    <x v="3"/>
    <s v="CC1004"/>
    <x v="81"/>
    <n v="83232"/>
    <n v="46240"/>
    <n v="45084"/>
    <s v="South"/>
    <n v="2312"/>
    <n v="-1156"/>
    <n v="38148"/>
    <n v="0.45833333333333298"/>
    <x v="2"/>
  </r>
  <r>
    <s v="TXN1057"/>
    <d v="2025-03-03T00:00:00"/>
    <x v="0"/>
    <s v="CC1001"/>
    <x v="82"/>
    <n v="134320"/>
    <n v="81760"/>
    <n v="79424"/>
    <s v="South"/>
    <n v="-5840"/>
    <n v="-2336"/>
    <n v="54896"/>
    <n v="0.40869565217391302"/>
    <x v="2"/>
  </r>
  <r>
    <s v="TXN1058"/>
    <d v="2025-03-03T00:00:00"/>
    <x v="1"/>
    <s v="CC1002"/>
    <x v="83"/>
    <n v="99280"/>
    <n v="52560"/>
    <n v="60736"/>
    <s v="South"/>
    <n v="5840"/>
    <n v="8176"/>
    <n v="38544"/>
    <n v="0.38823529411764701"/>
    <x v="2"/>
  </r>
  <r>
    <s v="TXN1059"/>
    <d v="2025-03-03T00:00:00"/>
    <x v="2"/>
    <s v="CC1003"/>
    <x v="84"/>
    <n v="105120"/>
    <n v="70080"/>
    <n v="72416"/>
    <s v="South"/>
    <n v="-5840"/>
    <n v="2336"/>
    <n v="32704"/>
    <n v="0.31111111111111101"/>
    <x v="2"/>
  </r>
  <r>
    <s v="TXN1060"/>
    <d v="2025-03-03T00:00:00"/>
    <x v="3"/>
    <s v="CC1004"/>
    <x v="85"/>
    <n v="84096"/>
    <n v="46720"/>
    <n v="45552"/>
    <s v="South"/>
    <n v="2336"/>
    <n v="-1168"/>
    <n v="38544"/>
    <n v="0.45833333333333298"/>
    <x v="2"/>
  </r>
  <r>
    <s v="TXN1061"/>
    <d v="2025-03-04T00:00:00"/>
    <x v="0"/>
    <s v="CC1001"/>
    <x v="86"/>
    <n v="135700"/>
    <n v="82600"/>
    <n v="80240"/>
    <s v="South"/>
    <n v="-5900"/>
    <n v="-2360"/>
    <n v="55460"/>
    <n v="0.40869565217391302"/>
    <x v="2"/>
  </r>
  <r>
    <s v="TXN1062"/>
    <d v="2025-03-04T00:00:00"/>
    <x v="1"/>
    <s v="CC1002"/>
    <x v="87"/>
    <n v="100300"/>
    <n v="53100"/>
    <n v="61360"/>
    <s v="South"/>
    <n v="5900"/>
    <n v="8260"/>
    <n v="38940"/>
    <n v="0.38823529411764701"/>
    <x v="2"/>
  </r>
  <r>
    <s v="TXN1063"/>
    <d v="2025-03-04T00:00:00"/>
    <x v="2"/>
    <s v="CC1003"/>
    <x v="88"/>
    <n v="106200"/>
    <n v="70800"/>
    <n v="73160"/>
    <s v="South"/>
    <n v="-5900"/>
    <n v="2360"/>
    <n v="33040"/>
    <n v="0.31111111111111101"/>
    <x v="2"/>
  </r>
  <r>
    <s v="TXN1064"/>
    <d v="2025-03-04T00:00:00"/>
    <x v="3"/>
    <s v="CC1004"/>
    <x v="89"/>
    <n v="84960"/>
    <n v="47200"/>
    <n v="46020"/>
    <s v="South"/>
    <n v="2360"/>
    <n v="-1180"/>
    <n v="38940"/>
    <n v="0.45833333333333298"/>
    <x v="2"/>
  </r>
  <r>
    <s v="TXN1065"/>
    <d v="2025-03-05T00:00:00"/>
    <x v="0"/>
    <s v="CC1001"/>
    <x v="90"/>
    <n v="137080"/>
    <n v="83440"/>
    <n v="81056"/>
    <s v="South"/>
    <n v="-5960"/>
    <n v="-2384"/>
    <n v="56024"/>
    <n v="0.40869565217391302"/>
    <x v="2"/>
  </r>
  <r>
    <s v="TXN1066"/>
    <d v="2025-03-05T00:00:00"/>
    <x v="1"/>
    <s v="CC1002"/>
    <x v="91"/>
    <n v="101320"/>
    <n v="53640"/>
    <n v="61984"/>
    <s v="South"/>
    <n v="5960"/>
    <n v="8344"/>
    <n v="39336"/>
    <n v="0.38823529411764701"/>
    <x v="2"/>
  </r>
  <r>
    <s v="TXN1067"/>
    <d v="2025-03-05T00:00:00"/>
    <x v="2"/>
    <s v="CC1003"/>
    <x v="92"/>
    <n v="107280"/>
    <n v="71520"/>
    <n v="73904"/>
    <s v="South"/>
    <n v="-5960"/>
    <n v="2384"/>
    <n v="33376"/>
    <n v="0.31111111111111101"/>
    <x v="2"/>
  </r>
  <r>
    <s v="TXN1068"/>
    <d v="2025-03-05T00:00:00"/>
    <x v="3"/>
    <s v="CC1004"/>
    <x v="93"/>
    <n v="85824"/>
    <n v="47680"/>
    <n v="46488"/>
    <s v="South"/>
    <n v="2384"/>
    <n v="-1192"/>
    <n v="39336"/>
    <n v="0.45833333333333298"/>
    <x v="2"/>
  </r>
  <r>
    <s v="TXN1069"/>
    <d v="2025-03-06T00:00:00"/>
    <x v="0"/>
    <s v="CC1001"/>
    <x v="94"/>
    <n v="138460"/>
    <n v="84280"/>
    <n v="81872"/>
    <s v="South"/>
    <n v="-6020"/>
    <n v="-2408"/>
    <n v="56588"/>
    <n v="0.40869565217391302"/>
    <x v="2"/>
  </r>
  <r>
    <s v="TXN1070"/>
    <d v="2025-03-06T00:00:00"/>
    <x v="1"/>
    <s v="CC1002"/>
    <x v="95"/>
    <n v="102340"/>
    <n v="54180"/>
    <n v="62608"/>
    <s v="South"/>
    <n v="6020"/>
    <n v="8428"/>
    <n v="39732"/>
    <n v="0.38823529411764701"/>
    <x v="2"/>
  </r>
  <r>
    <s v="TXN1071"/>
    <d v="2025-03-06T00:00:00"/>
    <x v="2"/>
    <s v="CC1003"/>
    <x v="96"/>
    <n v="108360"/>
    <n v="72240"/>
    <n v="74648"/>
    <s v="South"/>
    <n v="-6020"/>
    <n v="2408"/>
    <n v="33712"/>
    <n v="0.31111111111111101"/>
    <x v="2"/>
  </r>
  <r>
    <s v="TXN1072"/>
    <d v="2025-03-06T00:00:00"/>
    <x v="3"/>
    <s v="CC1004"/>
    <x v="97"/>
    <n v="86688"/>
    <n v="48160"/>
    <n v="46956"/>
    <s v="South"/>
    <n v="2408"/>
    <n v="-1204"/>
    <n v="39732"/>
    <n v="0.45833333333333298"/>
    <x v="2"/>
  </r>
  <r>
    <s v="TXN1073"/>
    <d v="2025-03-07T00:00:00"/>
    <x v="0"/>
    <s v="CC1001"/>
    <x v="98"/>
    <n v="139840"/>
    <n v="85120"/>
    <n v="82688"/>
    <s v="South"/>
    <n v="-6080"/>
    <n v="-2432"/>
    <n v="57152"/>
    <n v="0.40869565217391302"/>
    <x v="2"/>
  </r>
  <r>
    <s v="TXN1074"/>
    <d v="2025-03-07T00:00:00"/>
    <x v="1"/>
    <s v="CC1002"/>
    <x v="36"/>
    <n v="103360"/>
    <n v="54720"/>
    <n v="63232"/>
    <s v="South"/>
    <n v="6080"/>
    <n v="8512"/>
    <n v="40128"/>
    <n v="0.38823529411764701"/>
    <x v="2"/>
  </r>
  <r>
    <s v="TXN1075"/>
    <d v="2025-03-07T00:00:00"/>
    <x v="2"/>
    <s v="CC1003"/>
    <x v="99"/>
    <n v="109440"/>
    <n v="72960"/>
    <n v="75392"/>
    <s v="South"/>
    <n v="-6080"/>
    <n v="2432"/>
    <n v="34048"/>
    <n v="0.31111111111111101"/>
    <x v="2"/>
  </r>
  <r>
    <s v="TXN1076"/>
    <d v="2025-03-07T00:00:00"/>
    <x v="3"/>
    <s v="CC1004"/>
    <x v="100"/>
    <n v="87552"/>
    <n v="48640"/>
    <n v="47424"/>
    <s v="South"/>
    <n v="2432"/>
    <n v="-1216"/>
    <n v="40128"/>
    <n v="0.45833333333333298"/>
    <x v="2"/>
  </r>
  <r>
    <s v="TXN1077"/>
    <d v="2025-03-08T00:00:00"/>
    <x v="0"/>
    <s v="CC1001"/>
    <x v="101"/>
    <n v="141220"/>
    <n v="85960"/>
    <n v="83504"/>
    <s v="South"/>
    <n v="-6140"/>
    <n v="-2456"/>
    <n v="57716"/>
    <n v="0.40869565217391302"/>
    <x v="2"/>
  </r>
  <r>
    <s v="TXN1078"/>
    <d v="2025-03-08T00:00:00"/>
    <x v="1"/>
    <s v="CC1002"/>
    <x v="102"/>
    <n v="104380"/>
    <n v="55260"/>
    <n v="63856"/>
    <s v="South"/>
    <n v="6140"/>
    <n v="8596"/>
    <n v="40524"/>
    <n v="0.38823529411764701"/>
    <x v="2"/>
  </r>
  <r>
    <s v="TXN1079"/>
    <d v="2025-03-08T00:00:00"/>
    <x v="2"/>
    <s v="CC1003"/>
    <x v="103"/>
    <n v="110520"/>
    <n v="73680"/>
    <n v="76136"/>
    <s v="South"/>
    <n v="-6140"/>
    <n v="2456"/>
    <n v="34384"/>
    <n v="0.31111111111111101"/>
    <x v="2"/>
  </r>
  <r>
    <s v="TXN1080"/>
    <d v="2025-03-08T00:00:00"/>
    <x v="3"/>
    <s v="CC1004"/>
    <x v="104"/>
    <n v="88416"/>
    <n v="49120"/>
    <n v="47892"/>
    <s v="South"/>
    <n v="2456"/>
    <n v="-1228"/>
    <n v="40524"/>
    <n v="0.45833333333333298"/>
    <x v="2"/>
  </r>
  <r>
    <s v="TXN1081"/>
    <d v="2025-03-09T00:00:00"/>
    <x v="0"/>
    <s v="CC1001"/>
    <x v="105"/>
    <n v="142600"/>
    <n v="86800"/>
    <n v="84320"/>
    <s v="South"/>
    <n v="-6200"/>
    <n v="-2480"/>
    <n v="58280"/>
    <n v="0.40869565217391302"/>
    <x v="2"/>
  </r>
  <r>
    <s v="TXN1082"/>
    <d v="2025-03-09T00:00:00"/>
    <x v="1"/>
    <s v="CC1002"/>
    <x v="106"/>
    <n v="105400"/>
    <n v="55800"/>
    <n v="64480"/>
    <s v="South"/>
    <n v="6200"/>
    <n v="8680"/>
    <n v="40920"/>
    <n v="0.38823529411764701"/>
    <x v="2"/>
  </r>
  <r>
    <s v="TXN1083"/>
    <d v="2025-03-09T00:00:00"/>
    <x v="2"/>
    <s v="CC1003"/>
    <x v="107"/>
    <n v="111600"/>
    <n v="74400"/>
    <n v="76880"/>
    <s v="South"/>
    <n v="-6200"/>
    <n v="2480"/>
    <n v="34720"/>
    <n v="0.31111111111111101"/>
    <x v="2"/>
  </r>
  <r>
    <s v="TXN1084"/>
    <d v="2025-03-09T00:00:00"/>
    <x v="3"/>
    <s v="CC1004"/>
    <x v="108"/>
    <n v="89280"/>
    <n v="49600"/>
    <n v="48360"/>
    <s v="South"/>
    <n v="2480"/>
    <n v="-1240"/>
    <n v="40920"/>
    <n v="0.45833333333333298"/>
    <x v="2"/>
  </r>
  <r>
    <s v="TXN1085"/>
    <d v="2025-03-10T00:00:00"/>
    <x v="0"/>
    <s v="CC1001"/>
    <x v="109"/>
    <n v="143980"/>
    <n v="87640"/>
    <n v="85136"/>
    <s v="South"/>
    <n v="1980"/>
    <n v="-2504"/>
    <n v="58844"/>
    <n v="0.40869565217391302"/>
    <x v="2"/>
  </r>
  <r>
    <s v="TXN1086"/>
    <d v="2025-03-10T00:00:00"/>
    <x v="1"/>
    <s v="CC1002"/>
    <x v="110"/>
    <n v="106420"/>
    <n v="56340"/>
    <n v="65104"/>
    <s v="South"/>
    <n v="6260"/>
    <n v="8764"/>
    <n v="41316"/>
    <n v="0.38823529411764701"/>
    <x v="2"/>
  </r>
  <r>
    <s v="TXN1087"/>
    <d v="2025-03-10T00:00:00"/>
    <x v="2"/>
    <s v="CC1003"/>
    <x v="111"/>
    <n v="112680"/>
    <n v="75120"/>
    <n v="77624"/>
    <s v="South"/>
    <n v="-6260"/>
    <n v="2504"/>
    <n v="35056"/>
    <n v="0.31111111111111101"/>
    <x v="2"/>
  </r>
  <r>
    <s v="TXN1088"/>
    <d v="2025-03-10T00:00:00"/>
    <x v="3"/>
    <s v="CC1004"/>
    <x v="112"/>
    <n v="90144"/>
    <n v="50080"/>
    <n v="48828"/>
    <s v="South"/>
    <n v="2504"/>
    <n v="-1252"/>
    <n v="41316"/>
    <n v="0.45833333333333298"/>
    <x v="2"/>
  </r>
  <r>
    <s v="TXN1089"/>
    <d v="2025-03-11T00:00:00"/>
    <x v="0"/>
    <s v="CC1001"/>
    <x v="113"/>
    <n v="145360"/>
    <n v="88480"/>
    <n v="85952"/>
    <s v="South"/>
    <n v="-6320"/>
    <n v="-2528"/>
    <n v="59408"/>
    <n v="0.40869565217391302"/>
    <x v="2"/>
  </r>
  <r>
    <s v="TXN1090"/>
    <d v="2025-03-11T00:00:00"/>
    <x v="1"/>
    <s v="CC1002"/>
    <x v="114"/>
    <n v="107440"/>
    <n v="56880"/>
    <n v="65728"/>
    <s v="South"/>
    <n v="6320"/>
    <n v="8848"/>
    <n v="41712"/>
    <n v="0.38823529411764701"/>
    <x v="2"/>
  </r>
  <r>
    <s v="TXN1091"/>
    <d v="2025-03-11T00:00:00"/>
    <x v="2"/>
    <s v="CC1003"/>
    <x v="115"/>
    <n v="113760"/>
    <n v="75840"/>
    <n v="78368"/>
    <s v="South"/>
    <n v="-6320"/>
    <n v="2528"/>
    <n v="35392"/>
    <n v="0.31111111111111101"/>
    <x v="2"/>
  </r>
  <r>
    <s v="TXN1092"/>
    <d v="2025-03-11T00:00:00"/>
    <x v="3"/>
    <s v="CC1004"/>
    <x v="116"/>
    <n v="91008"/>
    <n v="50560"/>
    <n v="49296"/>
    <s v="South"/>
    <n v="2528"/>
    <n v="-1264"/>
    <n v="41712"/>
    <n v="0.45833333333333298"/>
    <x v="2"/>
  </r>
  <r>
    <s v="TXN1093"/>
    <d v="2025-03-12T00:00:00"/>
    <x v="0"/>
    <s v="CC1001"/>
    <x v="117"/>
    <n v="146740"/>
    <n v="89320"/>
    <n v="86768"/>
    <s v="South"/>
    <n v="-6380"/>
    <n v="-2552"/>
    <n v="59972"/>
    <n v="0.40869565217391302"/>
    <x v="2"/>
  </r>
  <r>
    <s v="TXN1094"/>
    <d v="2025-03-12T00:00:00"/>
    <x v="1"/>
    <s v="CC1002"/>
    <x v="118"/>
    <n v="108460"/>
    <n v="57420"/>
    <n v="66352"/>
    <s v="South"/>
    <n v="6380"/>
    <n v="8932"/>
    <n v="42108"/>
    <n v="0.38823529411764701"/>
    <x v="2"/>
  </r>
  <r>
    <s v="TXN1095"/>
    <d v="2025-03-12T00:00:00"/>
    <x v="2"/>
    <s v="CC1003"/>
    <x v="119"/>
    <n v="114840"/>
    <n v="76560"/>
    <n v="79112"/>
    <s v="South"/>
    <n v="-6380"/>
    <n v="2552"/>
    <n v="35728"/>
    <n v="0.31111111111111101"/>
    <x v="2"/>
  </r>
  <r>
    <s v="TXN1096"/>
    <d v="2025-03-12T00:00:00"/>
    <x v="3"/>
    <s v="CC1004"/>
    <x v="120"/>
    <n v="91872"/>
    <n v="51040"/>
    <n v="61000"/>
    <s v="South"/>
    <n v="2552"/>
    <n v="9960"/>
    <n v="30872"/>
    <n v="0.33603274120515503"/>
    <x v="2"/>
  </r>
  <r>
    <s v="TXN1004"/>
    <d v="2024-03-01T00:00:00"/>
    <x v="3"/>
    <s v="CC1004"/>
    <x v="3"/>
    <n v="72000"/>
    <n v="40000"/>
    <n v="39000"/>
    <s v="South"/>
    <n v="2000"/>
    <n v="-1000"/>
    <n v="33000"/>
    <n v="0.45833333333333298"/>
    <x v="2"/>
  </r>
  <r>
    <s v="TXN1028"/>
    <d v="2024-03-07T00:00:00"/>
    <x v="3"/>
    <s v="CC1004"/>
    <x v="53"/>
    <n v="77184"/>
    <n v="42880"/>
    <n v="41808"/>
    <s v="South"/>
    <n v="2144"/>
    <n v="-1072"/>
    <n v="35376"/>
    <n v="0.4583333333333329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F1202-9E6F-4429-90CD-19B789F4A57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2:C16" firstHeaderRow="0" firstDataRow="1" firstDataCol="1"/>
  <pivotFields count="14">
    <pivotField showAll="0"/>
    <pivotField numFmtId="14" showAll="0"/>
    <pivotField showAll="0"/>
    <pivotField showAll="0"/>
    <pivotField dataField="1" showAll="0">
      <items count="122">
        <item x="3"/>
        <item x="33"/>
        <item x="37"/>
        <item x="7"/>
        <item x="41"/>
        <item x="45"/>
        <item x="49"/>
        <item x="11"/>
        <item x="53"/>
        <item x="57"/>
        <item x="61"/>
        <item x="65"/>
        <item x="15"/>
        <item x="69"/>
        <item x="73"/>
        <item x="1"/>
        <item x="77"/>
        <item x="81"/>
        <item x="31"/>
        <item x="85"/>
        <item x="35"/>
        <item x="5"/>
        <item x="89"/>
        <item x="39"/>
        <item x="93"/>
        <item x="43"/>
        <item x="97"/>
        <item x="47"/>
        <item x="9"/>
        <item x="100"/>
        <item x="51"/>
        <item x="104"/>
        <item x="55"/>
        <item x="108"/>
        <item x="112"/>
        <item x="59"/>
        <item x="13"/>
        <item x="116"/>
        <item x="63"/>
        <item x="120"/>
        <item x="67"/>
        <item x="17"/>
        <item x="71"/>
        <item x="75"/>
        <item x="20"/>
        <item x="79"/>
        <item x="83"/>
        <item x="87"/>
        <item x="2"/>
        <item x="91"/>
        <item x="32"/>
        <item x="95"/>
        <item x="36"/>
        <item x="6"/>
        <item x="102"/>
        <item x="40"/>
        <item x="106"/>
        <item x="44"/>
        <item x="10"/>
        <item x="110"/>
        <item x="48"/>
        <item x="114"/>
        <item x="52"/>
        <item x="26"/>
        <item x="118"/>
        <item x="56"/>
        <item x="60"/>
        <item x="14"/>
        <item x="64"/>
        <item x="68"/>
        <item x="72"/>
        <item x="29"/>
        <item x="76"/>
        <item x="80"/>
        <item x="18"/>
        <item x="84"/>
        <item x="88"/>
        <item x="92"/>
        <item x="96"/>
        <item x="21"/>
        <item x="99"/>
        <item x="103"/>
        <item x="107"/>
        <item x="111"/>
        <item x="0"/>
        <item x="115"/>
        <item x="119"/>
        <item x="30"/>
        <item x="34"/>
        <item x="38"/>
        <item x="4"/>
        <item x="42"/>
        <item x="46"/>
        <item x="50"/>
        <item x="8"/>
        <item x="54"/>
        <item x="58"/>
        <item x="62"/>
        <item x="66"/>
        <item x="12"/>
        <item x="70"/>
        <item x="74"/>
        <item x="78"/>
        <item x="16"/>
        <item x="82"/>
        <item x="86"/>
        <item x="109"/>
        <item x="90"/>
        <item x="94"/>
        <item x="19"/>
        <item x="98"/>
        <item x="101"/>
        <item x="105"/>
        <item x="22"/>
        <item x="113"/>
        <item x="117"/>
        <item x="23"/>
        <item x="24"/>
        <item x="25"/>
        <item x="27"/>
        <item x="2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Revenue" fld="5" baseField="0" baseItem="0"/>
    <dataField name="Sum of Budget_Revenue" fld="4" baseField="0" baseItem="0"/>
  </dataFields>
  <chartFormats count="8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875F9-77EF-4693-B9C3-16F098DF299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8" firstHeaderRow="1" firstDataRow="1" firstDataCol="1"/>
  <pivotFields count="14">
    <pivotField showAll="0"/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_Varian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03A27-2F73-485C-B363-5C2AD84C8ED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Varian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6CBFD-9868-407B-841A-22135522082F}" name="Table1" displayName="Table1" ref="A1:O150" totalsRowCount="1">
  <autoFilter ref="A1:O149" xr:uid="{D106CBFD-9868-407B-841A-22135522082F}"/>
  <tableColumns count="15">
    <tableColumn id="1" xr3:uid="{678DBA0F-F144-43EB-B505-093E0C0A4D64}" name="Column1"/>
    <tableColumn id="2" xr3:uid="{0477B5AB-4BC0-4D88-AC18-A56816ADF796}" name="Transaction_ID"/>
    <tableColumn id="3" xr3:uid="{BFCB0E42-5BAD-47BE-B182-ABD07FD12E41}" name="Trans_Date" dataDxfId="1" totalsRowDxfId="0"/>
    <tableColumn id="4" xr3:uid="{358B5C42-25BD-4130-ADB5-92AE4DDAB253}" name="Department"/>
    <tableColumn id="5" xr3:uid="{03E40CE0-D123-474E-AAA3-56B18E8D8A09}" name="Cost_Center"/>
    <tableColumn id="6" xr3:uid="{9E2424EA-8E7D-436B-A36A-EF34EDEBD8E4}" name="Budget_Revenue"/>
    <tableColumn id="7" xr3:uid="{EEDF65C7-8944-4528-ABB2-3721B669714C}" name="Actual_Revenue"/>
    <tableColumn id="8" xr3:uid="{AD61C31F-F154-413E-AFFA-523CEE9CB9AF}" name="Budget_Expense"/>
    <tableColumn id="9" xr3:uid="{C85F11F2-835C-4C11-937A-3A91931ACCD8}" name="Actual_Expense"/>
    <tableColumn id="10" xr3:uid="{CD600E98-D099-4D58-9A03-7AF208378B0B}" name="Region"/>
    <tableColumn id="11" xr3:uid="{8F6AAF36-37C1-419F-99DA-04B5280409A6}" name="Revenue_Variance"/>
    <tableColumn id="12" xr3:uid="{056668FE-9729-4640-BD4C-93983B8E9D48}" name="Expense_Variance"/>
    <tableColumn id="13" xr3:uid="{051736EB-12B2-4335-80E8-316EE3CAD38C}" name="Profit"/>
    <tableColumn id="14" xr3:uid="{CCBF5D58-0607-4E83-89F0-7F55345A7936}" name="profit_margin"/>
    <tableColumn id="15" xr3:uid="{15386E45-A03F-4B1E-AB1A-752A987F12E6}" name="m_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18BC-9CDE-4C4F-8FA6-4A56F3283FBD}">
  <dimension ref="A1:O150"/>
  <sheetViews>
    <sheetView topLeftCell="E1" zoomScale="84" workbookViewId="0">
      <selection activeCell="M1" sqref="M1"/>
    </sheetView>
  </sheetViews>
  <sheetFormatPr defaultRowHeight="14.4" x14ac:dyDescent="0.3"/>
  <cols>
    <col min="1" max="1" width="10.21875" customWidth="1"/>
    <col min="2" max="2" width="15" customWidth="1"/>
    <col min="3" max="3" width="12" customWidth="1"/>
    <col min="4" max="4" width="12.77734375" customWidth="1"/>
    <col min="5" max="5" width="13" customWidth="1"/>
    <col min="6" max="6" width="16.88671875" customWidth="1"/>
    <col min="7" max="7" width="16.21875" customWidth="1"/>
    <col min="8" max="8" width="16.5546875" customWidth="1"/>
    <col min="9" max="9" width="15.88671875" customWidth="1"/>
    <col min="11" max="11" width="18.21875" customWidth="1"/>
    <col min="12" max="12" width="17.88671875" customWidth="1"/>
    <col min="13" max="13" width="7.5546875" customWidth="1"/>
    <col min="14" max="14" width="14.109375" customWidth="1"/>
    <col min="15" max="15" width="9.21875" customWidth="1"/>
  </cols>
  <sheetData>
    <row r="1" spans="1:15" x14ac:dyDescent="0.3">
      <c r="A1" t="s">
        <v>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 t="s">
        <v>14</v>
      </c>
      <c r="C2" s="1">
        <v>45658</v>
      </c>
      <c r="D2" t="s">
        <v>15</v>
      </c>
      <c r="E2" t="s">
        <v>16</v>
      </c>
      <c r="F2">
        <v>120000</v>
      </c>
      <c r="G2">
        <v>115000</v>
      </c>
      <c r="H2">
        <v>70000</v>
      </c>
      <c r="I2">
        <v>68000</v>
      </c>
      <c r="J2" t="s">
        <v>17</v>
      </c>
      <c r="K2">
        <v>-5000</v>
      </c>
      <c r="L2">
        <v>-2000</v>
      </c>
      <c r="M2">
        <v>47000</v>
      </c>
      <c r="N2">
        <v>0.40869565217391302</v>
      </c>
      <c r="O2">
        <v>1</v>
      </c>
    </row>
    <row r="3" spans="1:15" x14ac:dyDescent="0.3">
      <c r="A3">
        <v>1</v>
      </c>
      <c r="B3" t="s">
        <v>18</v>
      </c>
      <c r="C3" s="1">
        <v>45658</v>
      </c>
      <c r="D3" t="s">
        <v>19</v>
      </c>
      <c r="E3" t="s">
        <v>20</v>
      </c>
      <c r="F3">
        <v>80000</v>
      </c>
      <c r="G3">
        <v>85000</v>
      </c>
      <c r="H3">
        <v>45000</v>
      </c>
      <c r="I3">
        <v>52000</v>
      </c>
      <c r="J3" t="s">
        <v>17</v>
      </c>
      <c r="K3">
        <v>5000</v>
      </c>
      <c r="L3">
        <v>7000</v>
      </c>
      <c r="M3">
        <v>33000</v>
      </c>
      <c r="N3">
        <v>0.38823529411764701</v>
      </c>
      <c r="O3">
        <v>1</v>
      </c>
    </row>
    <row r="4" spans="1:15" x14ac:dyDescent="0.3">
      <c r="A4">
        <v>2</v>
      </c>
      <c r="B4" t="s">
        <v>21</v>
      </c>
      <c r="C4" s="1">
        <v>45658</v>
      </c>
      <c r="D4" t="s">
        <v>22</v>
      </c>
      <c r="E4" t="s">
        <v>23</v>
      </c>
      <c r="F4">
        <v>95000</v>
      </c>
      <c r="G4">
        <v>99280</v>
      </c>
      <c r="H4">
        <v>60000</v>
      </c>
      <c r="I4">
        <v>62000</v>
      </c>
      <c r="J4" t="s">
        <v>17</v>
      </c>
      <c r="K4">
        <v>4280</v>
      </c>
      <c r="L4">
        <v>2000</v>
      </c>
      <c r="M4">
        <v>37280</v>
      </c>
      <c r="N4">
        <v>0.375503626107977</v>
      </c>
      <c r="O4">
        <v>1</v>
      </c>
    </row>
    <row r="5" spans="1:15" x14ac:dyDescent="0.3">
      <c r="A5">
        <v>3</v>
      </c>
      <c r="B5" t="s">
        <v>24</v>
      </c>
      <c r="C5" s="1">
        <v>45658</v>
      </c>
      <c r="D5" t="s">
        <v>25</v>
      </c>
      <c r="E5" t="s">
        <v>26</v>
      </c>
      <c r="F5">
        <v>70000</v>
      </c>
      <c r="G5">
        <v>72000</v>
      </c>
      <c r="H5">
        <v>40000</v>
      </c>
      <c r="I5">
        <v>39000</v>
      </c>
      <c r="J5" t="s">
        <v>17</v>
      </c>
      <c r="K5">
        <v>2000</v>
      </c>
      <c r="L5">
        <v>-1000</v>
      </c>
      <c r="M5">
        <v>33000</v>
      </c>
      <c r="N5">
        <v>0.45833333333333298</v>
      </c>
      <c r="O5">
        <v>1</v>
      </c>
    </row>
    <row r="6" spans="1:15" x14ac:dyDescent="0.3">
      <c r="A6">
        <v>4</v>
      </c>
      <c r="B6" t="s">
        <v>27</v>
      </c>
      <c r="C6" s="1">
        <v>45659</v>
      </c>
      <c r="D6" t="s">
        <v>15</v>
      </c>
      <c r="E6" t="s">
        <v>16</v>
      </c>
      <c r="F6">
        <v>125000</v>
      </c>
      <c r="G6">
        <v>130000</v>
      </c>
      <c r="H6">
        <v>72000</v>
      </c>
      <c r="I6">
        <v>75000</v>
      </c>
      <c r="J6" t="s">
        <v>17</v>
      </c>
      <c r="K6">
        <v>5000</v>
      </c>
      <c r="L6">
        <v>3000</v>
      </c>
      <c r="M6">
        <v>55000</v>
      </c>
      <c r="N6">
        <v>0.42307692307692302</v>
      </c>
      <c r="O6">
        <v>1</v>
      </c>
    </row>
    <row r="7" spans="1:15" x14ac:dyDescent="0.3">
      <c r="A7">
        <v>5</v>
      </c>
      <c r="B7" t="s">
        <v>28</v>
      </c>
      <c r="C7" s="1">
        <v>45659</v>
      </c>
      <c r="D7" t="s">
        <v>19</v>
      </c>
      <c r="E7" t="s">
        <v>20</v>
      </c>
      <c r="F7">
        <v>82000</v>
      </c>
      <c r="G7">
        <v>78000</v>
      </c>
      <c r="H7">
        <v>46000</v>
      </c>
      <c r="I7">
        <v>44000</v>
      </c>
      <c r="J7" t="s">
        <v>17</v>
      </c>
      <c r="K7">
        <v>-4000</v>
      </c>
      <c r="L7">
        <v>-2000</v>
      </c>
      <c r="M7">
        <v>34000</v>
      </c>
      <c r="N7">
        <v>0.43589743589743501</v>
      </c>
      <c r="O7">
        <v>1</v>
      </c>
    </row>
    <row r="8" spans="1:15" x14ac:dyDescent="0.3">
      <c r="A8">
        <v>6</v>
      </c>
      <c r="B8" t="s">
        <v>29</v>
      </c>
      <c r="C8" s="1">
        <v>45659</v>
      </c>
      <c r="D8" t="s">
        <v>22</v>
      </c>
      <c r="E8" t="s">
        <v>23</v>
      </c>
      <c r="F8">
        <v>98000</v>
      </c>
      <c r="G8">
        <v>102000</v>
      </c>
      <c r="H8">
        <v>61000</v>
      </c>
      <c r="I8">
        <v>68000</v>
      </c>
      <c r="J8" t="s">
        <v>17</v>
      </c>
      <c r="K8">
        <v>4000</v>
      </c>
      <c r="L8">
        <v>7000</v>
      </c>
      <c r="M8">
        <v>34000</v>
      </c>
      <c r="N8">
        <v>0.33333333333333298</v>
      </c>
      <c r="O8">
        <v>1</v>
      </c>
    </row>
    <row r="9" spans="1:15" x14ac:dyDescent="0.3">
      <c r="A9">
        <v>7</v>
      </c>
      <c r="B9" t="s">
        <v>30</v>
      </c>
      <c r="C9" s="1">
        <v>45659</v>
      </c>
      <c r="D9" t="s">
        <v>25</v>
      </c>
      <c r="E9" t="s">
        <v>26</v>
      </c>
      <c r="F9">
        <v>72000</v>
      </c>
      <c r="G9">
        <v>70000</v>
      </c>
      <c r="H9">
        <v>41000</v>
      </c>
      <c r="I9">
        <v>43000</v>
      </c>
      <c r="J9" t="s">
        <v>17</v>
      </c>
      <c r="K9">
        <v>-2000</v>
      </c>
      <c r="L9">
        <v>2000</v>
      </c>
      <c r="M9">
        <v>27000</v>
      </c>
      <c r="N9">
        <v>0.38571428571428501</v>
      </c>
      <c r="O9">
        <v>1</v>
      </c>
    </row>
    <row r="10" spans="1:15" x14ac:dyDescent="0.3">
      <c r="A10">
        <v>8</v>
      </c>
      <c r="B10" t="s">
        <v>31</v>
      </c>
      <c r="C10" s="1">
        <v>45660</v>
      </c>
      <c r="D10" t="s">
        <v>15</v>
      </c>
      <c r="E10" t="s">
        <v>16</v>
      </c>
      <c r="F10">
        <v>130000</v>
      </c>
      <c r="G10">
        <v>128000</v>
      </c>
      <c r="H10">
        <v>75000</v>
      </c>
      <c r="I10">
        <v>73000</v>
      </c>
      <c r="J10" t="s">
        <v>17</v>
      </c>
      <c r="K10">
        <v>-2000</v>
      </c>
      <c r="L10">
        <v>-2000</v>
      </c>
      <c r="M10">
        <v>55000</v>
      </c>
      <c r="N10">
        <v>0.4296875</v>
      </c>
      <c r="O10">
        <v>1</v>
      </c>
    </row>
    <row r="11" spans="1:15" x14ac:dyDescent="0.3">
      <c r="A11">
        <v>9</v>
      </c>
      <c r="B11" t="s">
        <v>32</v>
      </c>
      <c r="C11" s="1">
        <v>45660</v>
      </c>
      <c r="D11" t="s">
        <v>19</v>
      </c>
      <c r="E11" t="s">
        <v>20</v>
      </c>
      <c r="F11">
        <v>85000</v>
      </c>
      <c r="G11">
        <v>90000</v>
      </c>
      <c r="H11">
        <v>48000</v>
      </c>
      <c r="I11">
        <v>55000</v>
      </c>
      <c r="J11" t="s">
        <v>17</v>
      </c>
      <c r="K11">
        <v>5000</v>
      </c>
      <c r="L11">
        <v>7000</v>
      </c>
      <c r="M11">
        <v>35000</v>
      </c>
      <c r="N11">
        <v>0.38888888888888801</v>
      </c>
      <c r="O11">
        <v>1</v>
      </c>
    </row>
    <row r="12" spans="1:15" x14ac:dyDescent="0.3">
      <c r="A12">
        <v>10</v>
      </c>
      <c r="B12" t="s">
        <v>33</v>
      </c>
      <c r="C12" s="1">
        <v>45660</v>
      </c>
      <c r="D12" t="s">
        <v>22</v>
      </c>
      <c r="E12" t="s">
        <v>23</v>
      </c>
      <c r="F12">
        <v>100000</v>
      </c>
      <c r="G12">
        <v>97000</v>
      </c>
      <c r="H12">
        <v>60000</v>
      </c>
      <c r="I12">
        <v>64000</v>
      </c>
      <c r="J12" t="s">
        <v>17</v>
      </c>
      <c r="K12">
        <v>-3000</v>
      </c>
      <c r="L12">
        <v>4000</v>
      </c>
      <c r="M12">
        <v>33000</v>
      </c>
      <c r="N12">
        <v>0.34020618556700999</v>
      </c>
      <c r="O12">
        <v>1</v>
      </c>
    </row>
    <row r="13" spans="1:15" x14ac:dyDescent="0.3">
      <c r="A13">
        <v>11</v>
      </c>
      <c r="B13" t="s">
        <v>34</v>
      </c>
      <c r="C13" s="1">
        <v>45660</v>
      </c>
      <c r="D13" t="s">
        <v>25</v>
      </c>
      <c r="E13" t="s">
        <v>26</v>
      </c>
      <c r="F13">
        <v>75000</v>
      </c>
      <c r="G13">
        <v>76000</v>
      </c>
      <c r="H13">
        <v>42000</v>
      </c>
      <c r="I13">
        <v>41000</v>
      </c>
      <c r="J13" t="s">
        <v>17</v>
      </c>
      <c r="K13">
        <v>1000</v>
      </c>
      <c r="L13">
        <v>-1000</v>
      </c>
      <c r="M13">
        <v>35000</v>
      </c>
      <c r="N13">
        <v>0.46052631578947301</v>
      </c>
      <c r="O13">
        <v>1</v>
      </c>
    </row>
    <row r="14" spans="1:15" x14ac:dyDescent="0.3">
      <c r="A14">
        <v>12</v>
      </c>
      <c r="B14" t="s">
        <v>35</v>
      </c>
      <c r="C14" s="1">
        <v>45661</v>
      </c>
      <c r="D14" t="s">
        <v>15</v>
      </c>
      <c r="E14" t="s">
        <v>16</v>
      </c>
      <c r="F14">
        <v>135000</v>
      </c>
      <c r="G14">
        <v>140000</v>
      </c>
      <c r="H14">
        <v>78000</v>
      </c>
      <c r="I14">
        <v>80000</v>
      </c>
      <c r="J14" t="s">
        <v>17</v>
      </c>
      <c r="K14">
        <v>5000</v>
      </c>
      <c r="L14">
        <v>2000</v>
      </c>
      <c r="M14">
        <v>60000</v>
      </c>
      <c r="N14">
        <v>0.42857142857142799</v>
      </c>
      <c r="O14">
        <v>1</v>
      </c>
    </row>
    <row r="15" spans="1:15" x14ac:dyDescent="0.3">
      <c r="A15">
        <v>13</v>
      </c>
      <c r="B15" t="s">
        <v>36</v>
      </c>
      <c r="C15" s="1">
        <v>45661</v>
      </c>
      <c r="D15" t="s">
        <v>19</v>
      </c>
      <c r="E15" t="s">
        <v>20</v>
      </c>
      <c r="F15">
        <v>88000</v>
      </c>
      <c r="G15">
        <v>86000</v>
      </c>
      <c r="H15">
        <v>50000</v>
      </c>
      <c r="I15">
        <v>51000</v>
      </c>
      <c r="J15" t="s">
        <v>17</v>
      </c>
      <c r="K15">
        <v>-2000</v>
      </c>
      <c r="L15">
        <v>1000</v>
      </c>
      <c r="M15">
        <v>35000</v>
      </c>
      <c r="N15">
        <v>0.40697674418604601</v>
      </c>
      <c r="O15">
        <v>1</v>
      </c>
    </row>
    <row r="16" spans="1:15" x14ac:dyDescent="0.3">
      <c r="A16">
        <v>14</v>
      </c>
      <c r="B16" t="s">
        <v>37</v>
      </c>
      <c r="C16" s="1">
        <v>45661</v>
      </c>
      <c r="D16" t="s">
        <v>22</v>
      </c>
      <c r="E16" t="s">
        <v>23</v>
      </c>
      <c r="F16">
        <v>105000</v>
      </c>
      <c r="G16">
        <v>101000</v>
      </c>
      <c r="H16">
        <v>65000</v>
      </c>
      <c r="I16">
        <v>70000</v>
      </c>
      <c r="J16" t="s">
        <v>17</v>
      </c>
      <c r="K16">
        <v>-4000</v>
      </c>
      <c r="L16">
        <v>5000</v>
      </c>
      <c r="M16">
        <v>31000</v>
      </c>
      <c r="N16">
        <v>0.30693069306930598</v>
      </c>
      <c r="O16">
        <v>1</v>
      </c>
    </row>
    <row r="17" spans="1:15" x14ac:dyDescent="0.3">
      <c r="A17">
        <v>15</v>
      </c>
      <c r="B17" t="s">
        <v>38</v>
      </c>
      <c r="C17" s="1">
        <v>45661</v>
      </c>
      <c r="D17" t="s">
        <v>25</v>
      </c>
      <c r="E17" t="s">
        <v>26</v>
      </c>
      <c r="F17">
        <v>78000</v>
      </c>
      <c r="G17">
        <v>81000</v>
      </c>
      <c r="H17">
        <v>44000</v>
      </c>
      <c r="I17">
        <v>45000</v>
      </c>
      <c r="J17" t="s">
        <v>17</v>
      </c>
      <c r="K17">
        <v>3000</v>
      </c>
      <c r="L17">
        <v>1000</v>
      </c>
      <c r="M17">
        <v>36000</v>
      </c>
      <c r="N17">
        <v>0.44444444444444398</v>
      </c>
      <c r="O17">
        <v>1</v>
      </c>
    </row>
    <row r="18" spans="1:15" x14ac:dyDescent="0.3">
      <c r="A18">
        <v>16</v>
      </c>
      <c r="B18" t="s">
        <v>39</v>
      </c>
      <c r="C18" s="1">
        <v>45662</v>
      </c>
      <c r="D18" t="s">
        <v>15</v>
      </c>
      <c r="E18" t="s">
        <v>16</v>
      </c>
      <c r="F18">
        <v>140000</v>
      </c>
      <c r="G18">
        <v>138000</v>
      </c>
      <c r="H18">
        <v>80000</v>
      </c>
      <c r="I18">
        <v>79000</v>
      </c>
      <c r="J18" t="s">
        <v>17</v>
      </c>
      <c r="K18">
        <v>-2000</v>
      </c>
      <c r="L18">
        <v>-1000</v>
      </c>
      <c r="M18">
        <v>59000</v>
      </c>
      <c r="N18">
        <v>0.42753623188405798</v>
      </c>
      <c r="O18">
        <v>1</v>
      </c>
    </row>
    <row r="19" spans="1:15" x14ac:dyDescent="0.3">
      <c r="A19">
        <v>17</v>
      </c>
      <c r="B19" t="s">
        <v>40</v>
      </c>
      <c r="C19" s="1">
        <v>45662</v>
      </c>
      <c r="D19" t="s">
        <v>19</v>
      </c>
      <c r="E19" t="s">
        <v>20</v>
      </c>
      <c r="F19">
        <v>90000</v>
      </c>
      <c r="G19">
        <v>95000</v>
      </c>
      <c r="H19">
        <v>52000</v>
      </c>
      <c r="I19">
        <v>60000</v>
      </c>
      <c r="J19" t="s">
        <v>17</v>
      </c>
      <c r="K19">
        <v>5000</v>
      </c>
      <c r="L19">
        <v>8000</v>
      </c>
      <c r="M19">
        <v>35000</v>
      </c>
      <c r="N19">
        <v>0.36842105263157798</v>
      </c>
      <c r="O19">
        <v>1</v>
      </c>
    </row>
    <row r="20" spans="1:15" x14ac:dyDescent="0.3">
      <c r="A20">
        <v>18</v>
      </c>
      <c r="B20" t="s">
        <v>41</v>
      </c>
      <c r="C20" s="1">
        <v>45662</v>
      </c>
      <c r="D20" t="s">
        <v>22</v>
      </c>
      <c r="E20" t="s">
        <v>23</v>
      </c>
      <c r="F20">
        <v>110000</v>
      </c>
      <c r="G20">
        <v>108000</v>
      </c>
      <c r="H20">
        <v>68000</v>
      </c>
      <c r="I20">
        <v>72000</v>
      </c>
      <c r="J20" t="s">
        <v>17</v>
      </c>
      <c r="K20">
        <v>-2000</v>
      </c>
      <c r="L20">
        <v>4000</v>
      </c>
      <c r="M20">
        <v>36000</v>
      </c>
      <c r="N20">
        <v>0.33333333333333298</v>
      </c>
      <c r="O20">
        <v>1</v>
      </c>
    </row>
    <row r="21" spans="1:15" x14ac:dyDescent="0.3">
      <c r="A21">
        <v>19</v>
      </c>
      <c r="B21" t="s">
        <v>42</v>
      </c>
      <c r="C21" s="1">
        <v>45662</v>
      </c>
      <c r="D21" t="s">
        <v>25</v>
      </c>
      <c r="E21" t="s">
        <v>26</v>
      </c>
      <c r="F21">
        <v>80000</v>
      </c>
      <c r="G21">
        <v>79000</v>
      </c>
      <c r="H21">
        <v>45000</v>
      </c>
      <c r="I21">
        <v>46000</v>
      </c>
      <c r="J21" t="s">
        <v>17</v>
      </c>
      <c r="K21">
        <v>-1000</v>
      </c>
      <c r="L21">
        <v>1000</v>
      </c>
      <c r="M21">
        <v>33000</v>
      </c>
      <c r="N21">
        <v>0.417721518987341</v>
      </c>
      <c r="O21">
        <v>1</v>
      </c>
    </row>
    <row r="22" spans="1:15" x14ac:dyDescent="0.3">
      <c r="A22">
        <v>20</v>
      </c>
      <c r="B22" t="s">
        <v>43</v>
      </c>
      <c r="C22" s="1">
        <v>45663</v>
      </c>
      <c r="D22" t="s">
        <v>15</v>
      </c>
      <c r="E22" t="s">
        <v>16</v>
      </c>
      <c r="F22">
        <v>145000</v>
      </c>
      <c r="G22">
        <v>99280</v>
      </c>
      <c r="H22">
        <v>82000</v>
      </c>
      <c r="I22">
        <v>85000</v>
      </c>
      <c r="J22" t="s">
        <v>17</v>
      </c>
      <c r="K22">
        <v>-45720</v>
      </c>
      <c r="L22">
        <v>3000</v>
      </c>
      <c r="M22">
        <v>14280</v>
      </c>
      <c r="N22">
        <v>0.14383561643835599</v>
      </c>
      <c r="O22">
        <v>1</v>
      </c>
    </row>
    <row r="23" spans="1:15" x14ac:dyDescent="0.3">
      <c r="A23">
        <v>21</v>
      </c>
      <c r="B23" t="s">
        <v>44</v>
      </c>
      <c r="C23" s="1">
        <v>45663</v>
      </c>
      <c r="D23" t="s">
        <v>19</v>
      </c>
      <c r="E23" t="s">
        <v>20</v>
      </c>
      <c r="F23">
        <v>92000</v>
      </c>
      <c r="G23">
        <v>88000</v>
      </c>
      <c r="H23">
        <v>54000</v>
      </c>
      <c r="I23">
        <v>50000</v>
      </c>
      <c r="J23" t="s">
        <v>17</v>
      </c>
      <c r="K23">
        <v>-4000</v>
      </c>
      <c r="L23">
        <v>-4000</v>
      </c>
      <c r="M23">
        <v>38000</v>
      </c>
      <c r="N23">
        <v>0.43181818181818099</v>
      </c>
      <c r="O23">
        <v>1</v>
      </c>
    </row>
    <row r="24" spans="1:15" x14ac:dyDescent="0.3">
      <c r="A24">
        <v>22</v>
      </c>
      <c r="B24" t="s">
        <v>45</v>
      </c>
      <c r="C24" s="1">
        <v>45663</v>
      </c>
      <c r="D24" t="s">
        <v>22</v>
      </c>
      <c r="E24" t="s">
        <v>23</v>
      </c>
      <c r="F24">
        <v>115000</v>
      </c>
      <c r="G24">
        <v>112000</v>
      </c>
      <c r="H24">
        <v>70000</v>
      </c>
      <c r="I24">
        <v>74000</v>
      </c>
      <c r="J24" t="s">
        <v>17</v>
      </c>
      <c r="K24">
        <v>-3000</v>
      </c>
      <c r="L24">
        <v>4000</v>
      </c>
      <c r="M24">
        <v>38000</v>
      </c>
      <c r="N24">
        <v>0.33928571428571402</v>
      </c>
      <c r="O24">
        <v>1</v>
      </c>
    </row>
    <row r="25" spans="1:15" x14ac:dyDescent="0.3">
      <c r="A25">
        <v>23</v>
      </c>
      <c r="B25" t="s">
        <v>46</v>
      </c>
      <c r="C25" s="1">
        <v>45663</v>
      </c>
      <c r="D25" t="s">
        <v>25</v>
      </c>
      <c r="E25" t="s">
        <v>26</v>
      </c>
      <c r="F25">
        <v>82000</v>
      </c>
      <c r="G25">
        <v>85000</v>
      </c>
      <c r="H25">
        <v>47000</v>
      </c>
      <c r="I25">
        <v>49000</v>
      </c>
      <c r="J25" t="s">
        <v>17</v>
      </c>
      <c r="K25">
        <v>3000</v>
      </c>
      <c r="L25">
        <v>2000</v>
      </c>
      <c r="M25">
        <v>36000</v>
      </c>
      <c r="N25">
        <v>0.42352941176470499</v>
      </c>
      <c r="O25">
        <v>1</v>
      </c>
    </row>
    <row r="26" spans="1:15" x14ac:dyDescent="0.3">
      <c r="A26">
        <v>24</v>
      </c>
      <c r="B26" t="s">
        <v>47</v>
      </c>
      <c r="C26" s="1">
        <v>45664</v>
      </c>
      <c r="D26" t="s">
        <v>15</v>
      </c>
      <c r="E26" t="s">
        <v>16</v>
      </c>
      <c r="F26">
        <v>150000</v>
      </c>
      <c r="G26">
        <v>147000</v>
      </c>
      <c r="H26">
        <v>85000</v>
      </c>
      <c r="I26">
        <v>83000</v>
      </c>
      <c r="J26" t="s">
        <v>17</v>
      </c>
      <c r="K26">
        <v>-3000</v>
      </c>
      <c r="L26">
        <v>-2000</v>
      </c>
      <c r="M26">
        <v>64000</v>
      </c>
      <c r="N26">
        <v>0.43537414965986299</v>
      </c>
      <c r="O26">
        <v>1</v>
      </c>
    </row>
    <row r="27" spans="1:15" x14ac:dyDescent="0.3">
      <c r="A27">
        <v>25</v>
      </c>
      <c r="B27" t="s">
        <v>48</v>
      </c>
      <c r="C27" s="1">
        <v>45664</v>
      </c>
      <c r="D27" t="s">
        <v>19</v>
      </c>
      <c r="E27" t="s">
        <v>20</v>
      </c>
      <c r="F27">
        <v>95000</v>
      </c>
      <c r="G27">
        <v>98000</v>
      </c>
      <c r="H27">
        <v>56000</v>
      </c>
      <c r="I27">
        <v>64728</v>
      </c>
      <c r="J27" t="s">
        <v>17</v>
      </c>
      <c r="K27">
        <v>3000</v>
      </c>
      <c r="L27">
        <v>8728</v>
      </c>
      <c r="M27">
        <v>33272</v>
      </c>
      <c r="N27">
        <v>0.33951020408163202</v>
      </c>
      <c r="O27">
        <v>1</v>
      </c>
    </row>
    <row r="28" spans="1:15" x14ac:dyDescent="0.3">
      <c r="A28">
        <v>26</v>
      </c>
      <c r="B28" t="s">
        <v>49</v>
      </c>
      <c r="C28" s="1">
        <v>45664</v>
      </c>
      <c r="D28" t="s">
        <v>22</v>
      </c>
      <c r="E28" t="s">
        <v>23</v>
      </c>
      <c r="F28">
        <v>120000</v>
      </c>
      <c r="G28">
        <v>118000</v>
      </c>
      <c r="H28">
        <v>72000</v>
      </c>
      <c r="I28">
        <v>78000</v>
      </c>
      <c r="J28" t="s">
        <v>17</v>
      </c>
      <c r="K28">
        <v>-2000</v>
      </c>
      <c r="L28">
        <v>6000</v>
      </c>
      <c r="M28">
        <v>40000</v>
      </c>
      <c r="N28">
        <v>0.338983050847457</v>
      </c>
      <c r="O28">
        <v>1</v>
      </c>
    </row>
    <row r="29" spans="1:15" x14ac:dyDescent="0.3">
      <c r="A29">
        <v>27</v>
      </c>
      <c r="B29" t="s">
        <v>50</v>
      </c>
      <c r="C29" s="1">
        <v>45664</v>
      </c>
      <c r="D29" t="s">
        <v>25</v>
      </c>
      <c r="E29" t="s">
        <v>26</v>
      </c>
      <c r="F29">
        <v>85000</v>
      </c>
      <c r="G29">
        <v>83000</v>
      </c>
      <c r="H29">
        <v>48000</v>
      </c>
      <c r="I29">
        <v>50000</v>
      </c>
      <c r="J29" t="s">
        <v>17</v>
      </c>
      <c r="K29">
        <v>-2000</v>
      </c>
      <c r="L29">
        <v>2000</v>
      </c>
      <c r="M29">
        <v>33000</v>
      </c>
      <c r="N29">
        <v>0.39759036144578302</v>
      </c>
      <c r="O29">
        <v>1</v>
      </c>
    </row>
    <row r="30" spans="1:15" x14ac:dyDescent="0.3">
      <c r="A30">
        <v>28</v>
      </c>
      <c r="B30" t="s">
        <v>51</v>
      </c>
      <c r="C30" s="1">
        <v>45665</v>
      </c>
      <c r="D30" t="s">
        <v>15</v>
      </c>
      <c r="E30" t="s">
        <v>16</v>
      </c>
      <c r="F30">
        <v>155000</v>
      </c>
      <c r="G30">
        <v>160000</v>
      </c>
      <c r="H30">
        <v>88000</v>
      </c>
      <c r="I30">
        <v>90000</v>
      </c>
      <c r="J30" t="s">
        <v>17</v>
      </c>
      <c r="K30">
        <v>5000</v>
      </c>
      <c r="L30">
        <v>2000</v>
      </c>
      <c r="M30">
        <v>70000</v>
      </c>
      <c r="N30">
        <v>0.4375</v>
      </c>
      <c r="O30">
        <v>1</v>
      </c>
    </row>
    <row r="31" spans="1:15" x14ac:dyDescent="0.3">
      <c r="A31">
        <v>29</v>
      </c>
      <c r="B31" t="s">
        <v>52</v>
      </c>
      <c r="C31" s="1">
        <v>45665</v>
      </c>
      <c r="D31" t="s">
        <v>19</v>
      </c>
      <c r="E31" t="s">
        <v>20</v>
      </c>
      <c r="F31">
        <v>98000</v>
      </c>
      <c r="G31">
        <v>92000</v>
      </c>
      <c r="H31">
        <v>58000</v>
      </c>
      <c r="I31">
        <v>55000</v>
      </c>
      <c r="J31" t="s">
        <v>17</v>
      </c>
      <c r="K31">
        <v>-6000</v>
      </c>
      <c r="L31">
        <v>-3000</v>
      </c>
      <c r="M31">
        <v>37000</v>
      </c>
      <c r="N31">
        <v>0.40217391304347799</v>
      </c>
      <c r="O31">
        <v>1</v>
      </c>
    </row>
    <row r="32" spans="1:15" x14ac:dyDescent="0.3">
      <c r="A32">
        <v>30</v>
      </c>
      <c r="B32" t="s">
        <v>53</v>
      </c>
      <c r="C32" s="1">
        <v>45665</v>
      </c>
      <c r="D32" t="s">
        <v>22</v>
      </c>
      <c r="E32" t="s">
        <v>23</v>
      </c>
      <c r="F32">
        <v>125000</v>
      </c>
      <c r="G32">
        <v>121000</v>
      </c>
      <c r="H32">
        <v>75000</v>
      </c>
      <c r="I32">
        <v>79000</v>
      </c>
      <c r="J32" t="s">
        <v>17</v>
      </c>
      <c r="K32">
        <v>-4000</v>
      </c>
      <c r="L32">
        <v>4000</v>
      </c>
      <c r="M32">
        <v>42000</v>
      </c>
      <c r="N32">
        <v>0.34710743801652799</v>
      </c>
      <c r="O32">
        <v>1</v>
      </c>
    </row>
    <row r="33" spans="1:15" x14ac:dyDescent="0.3">
      <c r="A33">
        <v>31</v>
      </c>
      <c r="B33" t="s">
        <v>54</v>
      </c>
      <c r="C33" s="1">
        <v>45665</v>
      </c>
      <c r="D33" t="s">
        <v>25</v>
      </c>
      <c r="E33" t="s">
        <v>26</v>
      </c>
      <c r="F33">
        <v>88000</v>
      </c>
      <c r="G33">
        <v>90000</v>
      </c>
      <c r="H33">
        <v>50000</v>
      </c>
      <c r="I33">
        <v>52000</v>
      </c>
      <c r="J33" t="s">
        <v>17</v>
      </c>
      <c r="K33">
        <v>2000</v>
      </c>
      <c r="L33">
        <v>2000</v>
      </c>
      <c r="M33">
        <v>38000</v>
      </c>
      <c r="N33">
        <v>0.422222222222222</v>
      </c>
      <c r="O33">
        <v>1</v>
      </c>
    </row>
    <row r="34" spans="1:15" x14ac:dyDescent="0.3">
      <c r="A34">
        <v>32</v>
      </c>
      <c r="B34" t="s">
        <v>55</v>
      </c>
      <c r="C34" s="1">
        <v>45666</v>
      </c>
      <c r="D34" t="s">
        <v>15</v>
      </c>
      <c r="E34" t="s">
        <v>16</v>
      </c>
      <c r="F34">
        <v>160000</v>
      </c>
      <c r="G34">
        <v>158000</v>
      </c>
      <c r="H34">
        <v>90000</v>
      </c>
      <c r="I34">
        <v>88000</v>
      </c>
      <c r="J34" t="s">
        <v>17</v>
      </c>
      <c r="K34">
        <v>-2000</v>
      </c>
      <c r="L34">
        <v>-2000</v>
      </c>
      <c r="M34">
        <v>70000</v>
      </c>
      <c r="N34">
        <v>0.443037974683544</v>
      </c>
      <c r="O34">
        <v>1</v>
      </c>
    </row>
    <row r="35" spans="1:15" x14ac:dyDescent="0.3">
      <c r="A35">
        <v>33</v>
      </c>
      <c r="B35" t="s">
        <v>56</v>
      </c>
      <c r="C35" s="1">
        <v>45666</v>
      </c>
      <c r="D35" t="s">
        <v>19</v>
      </c>
      <c r="E35" t="s">
        <v>20</v>
      </c>
      <c r="F35">
        <v>100000</v>
      </c>
      <c r="G35">
        <v>104000</v>
      </c>
      <c r="H35">
        <v>60000</v>
      </c>
      <c r="I35">
        <v>67000</v>
      </c>
      <c r="J35" t="s">
        <v>17</v>
      </c>
      <c r="K35">
        <v>4000</v>
      </c>
      <c r="L35">
        <v>7000</v>
      </c>
      <c r="M35">
        <v>37000</v>
      </c>
      <c r="N35">
        <v>0.35576923076923</v>
      </c>
      <c r="O35">
        <v>1</v>
      </c>
    </row>
    <row r="36" spans="1:15" x14ac:dyDescent="0.3">
      <c r="A36">
        <v>34</v>
      </c>
      <c r="B36" t="s">
        <v>57</v>
      </c>
      <c r="C36" s="1">
        <v>45666</v>
      </c>
      <c r="D36" t="s">
        <v>22</v>
      </c>
      <c r="E36" t="s">
        <v>23</v>
      </c>
      <c r="F36">
        <v>130000</v>
      </c>
      <c r="G36">
        <v>126000</v>
      </c>
      <c r="H36">
        <v>78000</v>
      </c>
      <c r="I36">
        <v>83000</v>
      </c>
      <c r="J36" t="s">
        <v>17</v>
      </c>
      <c r="K36">
        <v>-4000</v>
      </c>
      <c r="L36">
        <v>5000</v>
      </c>
      <c r="M36">
        <v>43000</v>
      </c>
      <c r="N36">
        <v>0.341269841269841</v>
      </c>
      <c r="O36">
        <v>1</v>
      </c>
    </row>
    <row r="37" spans="1:15" x14ac:dyDescent="0.3">
      <c r="A37">
        <v>35</v>
      </c>
      <c r="B37" t="s">
        <v>58</v>
      </c>
      <c r="C37" s="1">
        <v>45666</v>
      </c>
      <c r="D37" t="s">
        <v>25</v>
      </c>
      <c r="E37" t="s">
        <v>26</v>
      </c>
      <c r="F37">
        <v>90000</v>
      </c>
      <c r="G37">
        <v>87000</v>
      </c>
      <c r="H37">
        <v>52000</v>
      </c>
      <c r="I37">
        <v>51000</v>
      </c>
      <c r="J37" t="s">
        <v>17</v>
      </c>
      <c r="K37">
        <v>-3000</v>
      </c>
      <c r="L37">
        <v>-1000</v>
      </c>
      <c r="M37">
        <v>36000</v>
      </c>
      <c r="N37">
        <v>0.41379310344827502</v>
      </c>
      <c r="O37">
        <v>1</v>
      </c>
    </row>
    <row r="38" spans="1:15" x14ac:dyDescent="0.3">
      <c r="A38">
        <v>36</v>
      </c>
      <c r="B38" t="s">
        <v>59</v>
      </c>
      <c r="C38" s="1">
        <v>45667</v>
      </c>
      <c r="D38" t="s">
        <v>15</v>
      </c>
      <c r="E38" t="s">
        <v>16</v>
      </c>
      <c r="F38">
        <v>165000</v>
      </c>
      <c r="G38">
        <v>170000</v>
      </c>
      <c r="H38">
        <v>92000</v>
      </c>
      <c r="I38">
        <v>95000</v>
      </c>
      <c r="J38" t="s">
        <v>17</v>
      </c>
      <c r="K38">
        <v>5000</v>
      </c>
      <c r="L38">
        <v>3000</v>
      </c>
      <c r="M38">
        <v>75000</v>
      </c>
      <c r="N38">
        <v>0.441176470588235</v>
      </c>
      <c r="O38">
        <v>1</v>
      </c>
    </row>
    <row r="39" spans="1:15" x14ac:dyDescent="0.3">
      <c r="A39">
        <v>37</v>
      </c>
      <c r="B39" t="s">
        <v>60</v>
      </c>
      <c r="C39" s="1">
        <v>45667</v>
      </c>
      <c r="D39" t="s">
        <v>19</v>
      </c>
      <c r="E39" t="s">
        <v>20</v>
      </c>
      <c r="F39">
        <v>102000</v>
      </c>
      <c r="G39">
        <v>99000</v>
      </c>
      <c r="H39">
        <v>62000</v>
      </c>
      <c r="I39">
        <v>60000</v>
      </c>
      <c r="J39" t="s">
        <v>17</v>
      </c>
      <c r="K39">
        <v>-3000</v>
      </c>
      <c r="L39">
        <v>-2000</v>
      </c>
      <c r="M39">
        <v>39000</v>
      </c>
      <c r="N39">
        <v>0.39393939393939298</v>
      </c>
      <c r="O39">
        <v>1</v>
      </c>
    </row>
    <row r="40" spans="1:15" x14ac:dyDescent="0.3">
      <c r="A40">
        <v>38</v>
      </c>
      <c r="B40" t="s">
        <v>61</v>
      </c>
      <c r="C40" s="1">
        <v>45667</v>
      </c>
      <c r="D40" t="s">
        <v>22</v>
      </c>
      <c r="E40" t="s">
        <v>23</v>
      </c>
      <c r="F40">
        <v>135000</v>
      </c>
      <c r="G40">
        <v>132000</v>
      </c>
      <c r="H40">
        <v>80000</v>
      </c>
      <c r="I40">
        <v>86000</v>
      </c>
      <c r="J40" t="s">
        <v>17</v>
      </c>
      <c r="K40">
        <v>-3000</v>
      </c>
      <c r="L40">
        <v>6000</v>
      </c>
      <c r="M40">
        <v>46000</v>
      </c>
      <c r="N40">
        <v>0.34848484848484801</v>
      </c>
      <c r="O40">
        <v>1</v>
      </c>
    </row>
    <row r="41" spans="1:15" x14ac:dyDescent="0.3">
      <c r="A41">
        <v>39</v>
      </c>
      <c r="B41" t="s">
        <v>62</v>
      </c>
      <c r="C41" s="1">
        <v>45667</v>
      </c>
      <c r="D41" t="s">
        <v>25</v>
      </c>
      <c r="E41" t="s">
        <v>26</v>
      </c>
      <c r="F41">
        <v>92000</v>
      </c>
      <c r="G41">
        <v>95000</v>
      </c>
      <c r="H41">
        <v>54000</v>
      </c>
      <c r="I41">
        <v>57000</v>
      </c>
      <c r="J41" t="s">
        <v>17</v>
      </c>
      <c r="K41">
        <v>3000</v>
      </c>
      <c r="L41">
        <v>3000</v>
      </c>
      <c r="M41">
        <v>38000</v>
      </c>
      <c r="N41">
        <v>0.4</v>
      </c>
      <c r="O41">
        <v>1</v>
      </c>
    </row>
    <row r="42" spans="1:15" x14ac:dyDescent="0.3">
      <c r="A42">
        <v>40</v>
      </c>
      <c r="B42" t="s">
        <v>63</v>
      </c>
      <c r="C42" s="1">
        <v>45668</v>
      </c>
      <c r="D42" t="s">
        <v>15</v>
      </c>
      <c r="E42" t="s">
        <v>16</v>
      </c>
      <c r="F42">
        <v>170000</v>
      </c>
      <c r="G42">
        <v>168000</v>
      </c>
      <c r="H42">
        <v>95000</v>
      </c>
      <c r="I42">
        <v>93000</v>
      </c>
      <c r="J42" t="s">
        <v>17</v>
      </c>
      <c r="K42">
        <v>-2000</v>
      </c>
      <c r="L42">
        <v>-2000</v>
      </c>
      <c r="M42">
        <v>75000</v>
      </c>
      <c r="N42">
        <v>0.44642857142857101</v>
      </c>
      <c r="O42">
        <v>1</v>
      </c>
    </row>
    <row r="43" spans="1:15" x14ac:dyDescent="0.3">
      <c r="A43">
        <v>41</v>
      </c>
      <c r="B43" t="s">
        <v>64</v>
      </c>
      <c r="C43" s="1">
        <v>45668</v>
      </c>
      <c r="D43" t="s">
        <v>19</v>
      </c>
      <c r="E43" t="s">
        <v>20</v>
      </c>
      <c r="F43">
        <v>105000</v>
      </c>
      <c r="G43">
        <v>110000</v>
      </c>
      <c r="H43">
        <v>64000</v>
      </c>
      <c r="I43">
        <v>70000</v>
      </c>
      <c r="J43" t="s">
        <v>17</v>
      </c>
      <c r="K43">
        <v>5000</v>
      </c>
      <c r="L43">
        <v>6000</v>
      </c>
      <c r="M43">
        <v>40000</v>
      </c>
      <c r="N43">
        <v>0.36363636363636298</v>
      </c>
      <c r="O43">
        <v>1</v>
      </c>
    </row>
    <row r="44" spans="1:15" x14ac:dyDescent="0.3">
      <c r="A44">
        <v>42</v>
      </c>
      <c r="B44" t="s">
        <v>65</v>
      </c>
      <c r="C44" s="1">
        <v>45668</v>
      </c>
      <c r="D44" t="s">
        <v>22</v>
      </c>
      <c r="E44" t="s">
        <v>23</v>
      </c>
      <c r="F44">
        <v>140000</v>
      </c>
      <c r="G44">
        <v>136000</v>
      </c>
      <c r="H44">
        <v>82000</v>
      </c>
      <c r="I44">
        <v>88000</v>
      </c>
      <c r="J44" t="s">
        <v>17</v>
      </c>
      <c r="K44">
        <v>-4000</v>
      </c>
      <c r="L44">
        <v>6000</v>
      </c>
      <c r="M44">
        <v>48000</v>
      </c>
      <c r="N44">
        <v>0.35294117647058798</v>
      </c>
      <c r="O44">
        <v>1</v>
      </c>
    </row>
    <row r="45" spans="1:15" x14ac:dyDescent="0.3">
      <c r="A45">
        <v>43</v>
      </c>
      <c r="B45" t="s">
        <v>66</v>
      </c>
      <c r="C45" s="1">
        <v>45668</v>
      </c>
      <c r="D45" t="s">
        <v>25</v>
      </c>
      <c r="E45" t="s">
        <v>26</v>
      </c>
      <c r="F45">
        <v>95000</v>
      </c>
      <c r="G45">
        <v>93000</v>
      </c>
      <c r="H45">
        <v>56000</v>
      </c>
      <c r="I45">
        <v>55000</v>
      </c>
      <c r="J45" t="s">
        <v>17</v>
      </c>
      <c r="K45">
        <v>-2000</v>
      </c>
      <c r="L45">
        <v>-1000</v>
      </c>
      <c r="M45">
        <v>38000</v>
      </c>
      <c r="N45">
        <v>0.40860215053763399</v>
      </c>
      <c r="O45">
        <v>1</v>
      </c>
    </row>
    <row r="46" spans="1:15" x14ac:dyDescent="0.3">
      <c r="A46">
        <v>44</v>
      </c>
      <c r="B46" t="s">
        <v>67</v>
      </c>
      <c r="C46" s="1">
        <v>45669</v>
      </c>
      <c r="D46" t="s">
        <v>15</v>
      </c>
      <c r="E46" t="s">
        <v>16</v>
      </c>
      <c r="F46">
        <v>175000</v>
      </c>
      <c r="G46">
        <v>180000</v>
      </c>
      <c r="H46">
        <v>98000</v>
      </c>
      <c r="I46">
        <v>102000</v>
      </c>
      <c r="J46" t="s">
        <v>17</v>
      </c>
      <c r="K46">
        <v>5000</v>
      </c>
      <c r="L46">
        <v>4000</v>
      </c>
      <c r="M46">
        <v>78000</v>
      </c>
      <c r="N46">
        <v>0.43333333333333302</v>
      </c>
      <c r="O46">
        <v>1</v>
      </c>
    </row>
    <row r="47" spans="1:15" x14ac:dyDescent="0.3">
      <c r="A47">
        <v>45</v>
      </c>
      <c r="B47" t="s">
        <v>68</v>
      </c>
      <c r="C47" s="1">
        <v>45669</v>
      </c>
      <c r="D47" t="s">
        <v>19</v>
      </c>
      <c r="E47" t="s">
        <v>20</v>
      </c>
      <c r="F47">
        <v>108000</v>
      </c>
      <c r="G47">
        <v>106000</v>
      </c>
      <c r="H47">
        <v>66000</v>
      </c>
      <c r="I47">
        <v>65000</v>
      </c>
      <c r="J47" t="s">
        <v>17</v>
      </c>
      <c r="K47">
        <v>-2000</v>
      </c>
      <c r="L47">
        <v>-1000</v>
      </c>
      <c r="M47">
        <v>41000</v>
      </c>
      <c r="N47">
        <v>0.38679245283018798</v>
      </c>
      <c r="O47">
        <v>1</v>
      </c>
    </row>
    <row r="48" spans="1:15" x14ac:dyDescent="0.3">
      <c r="A48">
        <v>46</v>
      </c>
      <c r="B48" t="s">
        <v>69</v>
      </c>
      <c r="C48" s="1">
        <v>45669</v>
      </c>
      <c r="D48" t="s">
        <v>22</v>
      </c>
      <c r="E48" t="s">
        <v>23</v>
      </c>
      <c r="F48">
        <v>145000</v>
      </c>
      <c r="G48">
        <v>150000</v>
      </c>
      <c r="H48">
        <v>85000</v>
      </c>
      <c r="I48">
        <v>95000</v>
      </c>
      <c r="J48" t="s">
        <v>17</v>
      </c>
      <c r="K48">
        <v>5000</v>
      </c>
      <c r="L48">
        <v>10000</v>
      </c>
      <c r="M48">
        <v>55000</v>
      </c>
      <c r="N48">
        <v>0.36666666666666597</v>
      </c>
      <c r="O48">
        <v>1</v>
      </c>
    </row>
    <row r="49" spans="1:15" x14ac:dyDescent="0.3">
      <c r="A49">
        <v>47</v>
      </c>
      <c r="B49" t="s">
        <v>70</v>
      </c>
      <c r="C49" s="1">
        <v>45669</v>
      </c>
      <c r="D49" t="s">
        <v>25</v>
      </c>
      <c r="E49" t="s">
        <v>26</v>
      </c>
      <c r="F49">
        <v>98000</v>
      </c>
      <c r="G49">
        <v>100000</v>
      </c>
      <c r="H49">
        <v>58000</v>
      </c>
      <c r="I49">
        <v>61000</v>
      </c>
      <c r="J49" t="s">
        <v>17</v>
      </c>
      <c r="K49">
        <v>2000</v>
      </c>
      <c r="L49">
        <v>3000</v>
      </c>
      <c r="M49">
        <v>39000</v>
      </c>
      <c r="N49">
        <v>0.39</v>
      </c>
      <c r="O49">
        <v>1</v>
      </c>
    </row>
    <row r="50" spans="1:15" x14ac:dyDescent="0.3">
      <c r="A50">
        <v>49</v>
      </c>
      <c r="B50" t="s">
        <v>38</v>
      </c>
      <c r="C50" s="1">
        <v>45692</v>
      </c>
      <c r="D50" t="s">
        <v>25</v>
      </c>
      <c r="E50" t="s">
        <v>26</v>
      </c>
      <c r="F50">
        <v>78000</v>
      </c>
      <c r="G50">
        <v>81000</v>
      </c>
      <c r="H50">
        <v>44000</v>
      </c>
      <c r="I50">
        <v>45000</v>
      </c>
      <c r="J50" t="s">
        <v>17</v>
      </c>
      <c r="K50">
        <v>3000</v>
      </c>
      <c r="L50">
        <v>1000</v>
      </c>
      <c r="M50">
        <v>36000</v>
      </c>
      <c r="N50">
        <v>0.44444444444444398</v>
      </c>
      <c r="O50">
        <v>2</v>
      </c>
    </row>
    <row r="51" spans="1:15" x14ac:dyDescent="0.3">
      <c r="A51">
        <v>50</v>
      </c>
      <c r="B51" t="s">
        <v>54</v>
      </c>
      <c r="C51" s="1">
        <v>45696</v>
      </c>
      <c r="D51" t="s">
        <v>25</v>
      </c>
      <c r="E51" t="s">
        <v>26</v>
      </c>
      <c r="F51">
        <v>88000</v>
      </c>
      <c r="G51">
        <v>90000</v>
      </c>
      <c r="H51">
        <v>50000</v>
      </c>
      <c r="I51">
        <v>52000</v>
      </c>
      <c r="J51" t="s">
        <v>17</v>
      </c>
      <c r="K51">
        <v>2000</v>
      </c>
      <c r="L51">
        <v>2000</v>
      </c>
      <c r="M51">
        <v>38000</v>
      </c>
      <c r="N51">
        <v>0.422222222222222</v>
      </c>
      <c r="O51">
        <v>2</v>
      </c>
    </row>
    <row r="52" spans="1:15" x14ac:dyDescent="0.3">
      <c r="A52">
        <v>51</v>
      </c>
      <c r="B52" t="s">
        <v>71</v>
      </c>
      <c r="C52" s="1">
        <v>45323</v>
      </c>
      <c r="D52" t="s">
        <v>15</v>
      </c>
      <c r="E52" t="s">
        <v>16</v>
      </c>
      <c r="F52">
        <v>120000</v>
      </c>
      <c r="G52">
        <v>115000</v>
      </c>
      <c r="H52">
        <v>70000</v>
      </c>
      <c r="I52">
        <v>68000</v>
      </c>
      <c r="J52" t="s">
        <v>17</v>
      </c>
      <c r="K52">
        <v>-5000</v>
      </c>
      <c r="L52">
        <v>-2000</v>
      </c>
      <c r="M52">
        <v>47000</v>
      </c>
      <c r="N52">
        <v>0.40869565217391302</v>
      </c>
      <c r="O52">
        <v>2</v>
      </c>
    </row>
    <row r="53" spans="1:15" x14ac:dyDescent="0.3">
      <c r="A53">
        <v>52</v>
      </c>
      <c r="B53" t="s">
        <v>72</v>
      </c>
      <c r="C53" s="1">
        <v>45323</v>
      </c>
      <c r="D53" t="s">
        <v>19</v>
      </c>
      <c r="E53" t="s">
        <v>20</v>
      </c>
      <c r="F53">
        <v>80000</v>
      </c>
      <c r="G53">
        <v>85000</v>
      </c>
      <c r="H53">
        <v>45000</v>
      </c>
      <c r="I53">
        <v>52000</v>
      </c>
      <c r="J53" t="s">
        <v>17</v>
      </c>
      <c r="K53">
        <v>5000</v>
      </c>
      <c r="L53">
        <v>7000</v>
      </c>
      <c r="M53">
        <v>33000</v>
      </c>
      <c r="N53">
        <v>0.38823529411764701</v>
      </c>
      <c r="O53">
        <v>2</v>
      </c>
    </row>
    <row r="54" spans="1:15" x14ac:dyDescent="0.3">
      <c r="A54">
        <v>53</v>
      </c>
      <c r="B54" t="s">
        <v>73</v>
      </c>
      <c r="C54" s="1">
        <v>45323</v>
      </c>
      <c r="D54" t="s">
        <v>22</v>
      </c>
      <c r="E54" t="s">
        <v>23</v>
      </c>
      <c r="F54">
        <v>95000</v>
      </c>
      <c r="G54">
        <v>90000</v>
      </c>
      <c r="H54">
        <v>60000</v>
      </c>
      <c r="I54">
        <v>62000</v>
      </c>
      <c r="J54" t="s">
        <v>17</v>
      </c>
      <c r="K54">
        <v>-5000</v>
      </c>
      <c r="L54">
        <v>2000</v>
      </c>
      <c r="M54">
        <v>28000</v>
      </c>
      <c r="N54">
        <v>0.31111111111111101</v>
      </c>
      <c r="O54">
        <v>2</v>
      </c>
    </row>
    <row r="55" spans="1:15" x14ac:dyDescent="0.3">
      <c r="A55">
        <v>54</v>
      </c>
      <c r="B55" t="s">
        <v>74</v>
      </c>
      <c r="C55" s="1">
        <v>45323</v>
      </c>
      <c r="D55" t="s">
        <v>25</v>
      </c>
      <c r="E55" t="s">
        <v>26</v>
      </c>
      <c r="F55">
        <v>70000</v>
      </c>
      <c r="G55">
        <v>72000</v>
      </c>
      <c r="H55">
        <v>40000</v>
      </c>
      <c r="I55">
        <v>39000</v>
      </c>
      <c r="J55" t="s">
        <v>17</v>
      </c>
      <c r="K55">
        <v>2000</v>
      </c>
      <c r="L55">
        <v>-1000</v>
      </c>
      <c r="M55">
        <v>33000</v>
      </c>
      <c r="N55">
        <v>0.45833333333333298</v>
      </c>
      <c r="O55">
        <v>2</v>
      </c>
    </row>
    <row r="56" spans="1:15" x14ac:dyDescent="0.3">
      <c r="A56">
        <v>55</v>
      </c>
      <c r="B56" t="s">
        <v>75</v>
      </c>
      <c r="C56" s="1">
        <v>45324</v>
      </c>
      <c r="D56" t="s">
        <v>15</v>
      </c>
      <c r="E56" t="s">
        <v>16</v>
      </c>
      <c r="F56">
        <v>121440</v>
      </c>
      <c r="G56">
        <v>116380</v>
      </c>
      <c r="H56">
        <v>70840</v>
      </c>
      <c r="I56">
        <v>68816</v>
      </c>
      <c r="J56" t="s">
        <v>17</v>
      </c>
      <c r="K56">
        <v>-5060</v>
      </c>
      <c r="L56">
        <v>-2024</v>
      </c>
      <c r="M56">
        <v>47564</v>
      </c>
      <c r="N56">
        <v>0.40869565217391302</v>
      </c>
      <c r="O56">
        <v>2</v>
      </c>
    </row>
    <row r="57" spans="1:15" x14ac:dyDescent="0.3">
      <c r="A57">
        <v>56</v>
      </c>
      <c r="B57" t="s">
        <v>76</v>
      </c>
      <c r="C57" s="1">
        <v>45324</v>
      </c>
      <c r="D57" t="s">
        <v>19</v>
      </c>
      <c r="E57" t="s">
        <v>20</v>
      </c>
      <c r="F57">
        <v>80960</v>
      </c>
      <c r="G57">
        <v>86020</v>
      </c>
      <c r="H57">
        <v>45540</v>
      </c>
      <c r="I57">
        <v>52624</v>
      </c>
      <c r="J57" t="s">
        <v>17</v>
      </c>
      <c r="K57">
        <v>5060</v>
      </c>
      <c r="L57">
        <v>7084</v>
      </c>
      <c r="M57">
        <v>33396</v>
      </c>
      <c r="N57">
        <v>0.38823529411764701</v>
      </c>
      <c r="O57">
        <v>2</v>
      </c>
    </row>
    <row r="58" spans="1:15" x14ac:dyDescent="0.3">
      <c r="A58">
        <v>57</v>
      </c>
      <c r="B58" t="s">
        <v>77</v>
      </c>
      <c r="C58" s="1">
        <v>45324</v>
      </c>
      <c r="D58" t="s">
        <v>22</v>
      </c>
      <c r="E58" t="s">
        <v>23</v>
      </c>
      <c r="F58">
        <v>96140</v>
      </c>
      <c r="G58">
        <v>91080</v>
      </c>
      <c r="H58">
        <v>60720</v>
      </c>
      <c r="I58">
        <v>62744</v>
      </c>
      <c r="J58" t="s">
        <v>17</v>
      </c>
      <c r="K58">
        <v>-5060</v>
      </c>
      <c r="L58">
        <v>2024</v>
      </c>
      <c r="M58">
        <v>28336</v>
      </c>
      <c r="N58">
        <v>0.31111111111111101</v>
      </c>
      <c r="O58">
        <v>2</v>
      </c>
    </row>
    <row r="59" spans="1:15" x14ac:dyDescent="0.3">
      <c r="A59">
        <v>58</v>
      </c>
      <c r="B59" t="s">
        <v>78</v>
      </c>
      <c r="C59" s="1">
        <v>45324</v>
      </c>
      <c r="D59" t="s">
        <v>25</v>
      </c>
      <c r="E59" t="s">
        <v>26</v>
      </c>
      <c r="F59">
        <v>70840</v>
      </c>
      <c r="G59">
        <v>85500</v>
      </c>
      <c r="H59">
        <v>40480</v>
      </c>
      <c r="I59">
        <v>39468</v>
      </c>
      <c r="J59" t="s">
        <v>17</v>
      </c>
      <c r="K59">
        <v>14660</v>
      </c>
      <c r="L59">
        <v>-1012</v>
      </c>
      <c r="M59">
        <v>46032</v>
      </c>
      <c r="N59">
        <v>0.53838596491227997</v>
      </c>
      <c r="O59">
        <v>2</v>
      </c>
    </row>
    <row r="60" spans="1:15" x14ac:dyDescent="0.3">
      <c r="A60">
        <v>59</v>
      </c>
      <c r="B60" t="s">
        <v>79</v>
      </c>
      <c r="C60" s="1">
        <v>45325</v>
      </c>
      <c r="D60" t="s">
        <v>15</v>
      </c>
      <c r="E60" t="s">
        <v>16</v>
      </c>
      <c r="F60">
        <v>122880</v>
      </c>
      <c r="G60">
        <v>117760</v>
      </c>
      <c r="H60">
        <v>71680</v>
      </c>
      <c r="I60">
        <v>69632</v>
      </c>
      <c r="J60" t="s">
        <v>17</v>
      </c>
      <c r="K60">
        <v>-5120</v>
      </c>
      <c r="L60">
        <v>-2048</v>
      </c>
      <c r="M60">
        <v>48128</v>
      </c>
      <c r="N60">
        <v>0.40869565217391302</v>
      </c>
      <c r="O60">
        <v>2</v>
      </c>
    </row>
    <row r="61" spans="1:15" x14ac:dyDescent="0.3">
      <c r="A61">
        <v>60</v>
      </c>
      <c r="B61" t="s">
        <v>80</v>
      </c>
      <c r="C61" s="1">
        <v>45325</v>
      </c>
      <c r="D61" t="s">
        <v>19</v>
      </c>
      <c r="E61" t="s">
        <v>20</v>
      </c>
      <c r="F61">
        <v>81920</v>
      </c>
      <c r="G61">
        <v>87040</v>
      </c>
      <c r="H61">
        <v>46080</v>
      </c>
      <c r="I61">
        <v>53248</v>
      </c>
      <c r="J61" t="s">
        <v>17</v>
      </c>
      <c r="K61">
        <v>5120</v>
      </c>
      <c r="L61">
        <v>7168</v>
      </c>
      <c r="M61">
        <v>33792</v>
      </c>
      <c r="N61">
        <v>0.38823529411764701</v>
      </c>
      <c r="O61">
        <v>2</v>
      </c>
    </row>
    <row r="62" spans="1:15" x14ac:dyDescent="0.3">
      <c r="A62">
        <v>61</v>
      </c>
      <c r="B62" t="s">
        <v>81</v>
      </c>
      <c r="C62" s="1">
        <v>45325</v>
      </c>
      <c r="D62" t="s">
        <v>22</v>
      </c>
      <c r="E62" t="s">
        <v>23</v>
      </c>
      <c r="F62">
        <v>97280</v>
      </c>
      <c r="G62">
        <v>92160</v>
      </c>
      <c r="H62">
        <v>61440</v>
      </c>
      <c r="I62">
        <v>63488</v>
      </c>
      <c r="J62" t="s">
        <v>17</v>
      </c>
      <c r="K62">
        <v>-5120</v>
      </c>
      <c r="L62">
        <v>2048</v>
      </c>
      <c r="M62">
        <v>28672</v>
      </c>
      <c r="N62">
        <v>0.31111111111111101</v>
      </c>
      <c r="O62">
        <v>2</v>
      </c>
    </row>
    <row r="63" spans="1:15" x14ac:dyDescent="0.3">
      <c r="A63">
        <v>62</v>
      </c>
      <c r="B63" t="s">
        <v>82</v>
      </c>
      <c r="C63" s="1">
        <v>45325</v>
      </c>
      <c r="D63" t="s">
        <v>25</v>
      </c>
      <c r="E63" t="s">
        <v>26</v>
      </c>
      <c r="F63">
        <v>71680</v>
      </c>
      <c r="G63">
        <v>73728</v>
      </c>
      <c r="H63">
        <v>40960</v>
      </c>
      <c r="I63">
        <v>39936</v>
      </c>
      <c r="J63" t="s">
        <v>17</v>
      </c>
      <c r="K63">
        <v>2048</v>
      </c>
      <c r="L63">
        <v>-1024</v>
      </c>
      <c r="M63">
        <v>33792</v>
      </c>
      <c r="N63">
        <v>0.45833333333333298</v>
      </c>
      <c r="O63">
        <v>2</v>
      </c>
    </row>
    <row r="64" spans="1:15" x14ac:dyDescent="0.3">
      <c r="A64">
        <v>63</v>
      </c>
      <c r="B64" t="s">
        <v>83</v>
      </c>
      <c r="C64" s="1">
        <v>45326</v>
      </c>
      <c r="D64" t="s">
        <v>15</v>
      </c>
      <c r="E64" t="s">
        <v>16</v>
      </c>
      <c r="F64">
        <v>124320</v>
      </c>
      <c r="G64">
        <v>119140</v>
      </c>
      <c r="H64">
        <v>72520</v>
      </c>
      <c r="I64">
        <v>70448</v>
      </c>
      <c r="J64" t="s">
        <v>17</v>
      </c>
      <c r="K64">
        <v>-5180</v>
      </c>
      <c r="L64">
        <v>-2072</v>
      </c>
      <c r="M64">
        <v>48692</v>
      </c>
      <c r="N64">
        <v>0.40869565217391302</v>
      </c>
      <c r="O64">
        <v>2</v>
      </c>
    </row>
    <row r="65" spans="1:15" x14ac:dyDescent="0.3">
      <c r="A65">
        <v>64</v>
      </c>
      <c r="B65" t="s">
        <v>84</v>
      </c>
      <c r="C65" s="1">
        <v>45326</v>
      </c>
      <c r="D65" t="s">
        <v>19</v>
      </c>
      <c r="E65" t="s">
        <v>20</v>
      </c>
      <c r="F65">
        <v>82880</v>
      </c>
      <c r="G65">
        <v>88060</v>
      </c>
      <c r="H65">
        <v>46620</v>
      </c>
      <c r="I65">
        <v>53872</v>
      </c>
      <c r="J65" t="s">
        <v>17</v>
      </c>
      <c r="K65">
        <v>5180</v>
      </c>
      <c r="L65">
        <v>7252</v>
      </c>
      <c r="M65">
        <v>34188</v>
      </c>
      <c r="N65">
        <v>0.38823529411764701</v>
      </c>
      <c r="O65">
        <v>2</v>
      </c>
    </row>
    <row r="66" spans="1:15" x14ac:dyDescent="0.3">
      <c r="A66">
        <v>65</v>
      </c>
      <c r="B66" t="s">
        <v>85</v>
      </c>
      <c r="C66" s="1">
        <v>45326</v>
      </c>
      <c r="D66" t="s">
        <v>22</v>
      </c>
      <c r="E66" t="s">
        <v>23</v>
      </c>
      <c r="F66">
        <v>98420</v>
      </c>
      <c r="G66">
        <v>93240</v>
      </c>
      <c r="H66">
        <v>62160</v>
      </c>
      <c r="I66">
        <v>64232</v>
      </c>
      <c r="J66" t="s">
        <v>17</v>
      </c>
      <c r="K66">
        <v>-5180</v>
      </c>
      <c r="L66">
        <v>2072</v>
      </c>
      <c r="M66">
        <v>29008</v>
      </c>
      <c r="N66">
        <v>0.31111111111111101</v>
      </c>
      <c r="O66">
        <v>2</v>
      </c>
    </row>
    <row r="67" spans="1:15" x14ac:dyDescent="0.3">
      <c r="A67">
        <v>66</v>
      </c>
      <c r="B67" t="s">
        <v>86</v>
      </c>
      <c r="C67" s="1">
        <v>45326</v>
      </c>
      <c r="D67" t="s">
        <v>25</v>
      </c>
      <c r="E67" t="s">
        <v>26</v>
      </c>
      <c r="F67">
        <v>72520</v>
      </c>
      <c r="G67">
        <v>74592</v>
      </c>
      <c r="H67">
        <v>41440</v>
      </c>
      <c r="I67">
        <v>40404</v>
      </c>
      <c r="J67" t="s">
        <v>17</v>
      </c>
      <c r="K67">
        <v>2072</v>
      </c>
      <c r="L67">
        <v>-1036</v>
      </c>
      <c r="M67">
        <v>34188</v>
      </c>
      <c r="N67">
        <v>0.45833333333333298</v>
      </c>
      <c r="O67">
        <v>2</v>
      </c>
    </row>
    <row r="68" spans="1:15" x14ac:dyDescent="0.3">
      <c r="A68">
        <v>67</v>
      </c>
      <c r="B68" t="s">
        <v>87</v>
      </c>
      <c r="C68" s="1">
        <v>45327</v>
      </c>
      <c r="D68" t="s">
        <v>15</v>
      </c>
      <c r="E68" t="s">
        <v>16</v>
      </c>
      <c r="F68">
        <v>125760</v>
      </c>
      <c r="G68">
        <v>120520</v>
      </c>
      <c r="H68">
        <v>73360</v>
      </c>
      <c r="I68">
        <v>71264</v>
      </c>
      <c r="J68" t="s">
        <v>17</v>
      </c>
      <c r="K68">
        <v>-5240</v>
      </c>
      <c r="L68">
        <v>-2096</v>
      </c>
      <c r="M68">
        <v>49256</v>
      </c>
      <c r="N68">
        <v>0.40869565217391302</v>
      </c>
      <c r="O68">
        <v>2</v>
      </c>
    </row>
    <row r="69" spans="1:15" x14ac:dyDescent="0.3">
      <c r="A69">
        <v>68</v>
      </c>
      <c r="B69" t="s">
        <v>88</v>
      </c>
      <c r="C69" s="1">
        <v>45327</v>
      </c>
      <c r="D69" t="s">
        <v>19</v>
      </c>
      <c r="E69" t="s">
        <v>20</v>
      </c>
      <c r="F69">
        <v>83840</v>
      </c>
      <c r="G69">
        <v>89080</v>
      </c>
      <c r="H69">
        <v>47160</v>
      </c>
      <c r="I69">
        <v>54496</v>
      </c>
      <c r="J69" t="s">
        <v>17</v>
      </c>
      <c r="K69">
        <v>5240</v>
      </c>
      <c r="L69">
        <v>7336</v>
      </c>
      <c r="M69">
        <v>34584</v>
      </c>
      <c r="N69">
        <v>0.38823529411764701</v>
      </c>
      <c r="O69">
        <v>2</v>
      </c>
    </row>
    <row r="70" spans="1:15" x14ac:dyDescent="0.3">
      <c r="A70">
        <v>69</v>
      </c>
      <c r="B70" t="s">
        <v>89</v>
      </c>
      <c r="C70" s="1">
        <v>45327</v>
      </c>
      <c r="D70" t="s">
        <v>22</v>
      </c>
      <c r="E70" t="s">
        <v>23</v>
      </c>
      <c r="F70">
        <v>99560</v>
      </c>
      <c r="G70">
        <v>94320</v>
      </c>
      <c r="H70">
        <v>60000</v>
      </c>
      <c r="I70">
        <v>64976</v>
      </c>
      <c r="J70" t="s">
        <v>17</v>
      </c>
      <c r="K70">
        <v>-5240</v>
      </c>
      <c r="L70">
        <v>4976</v>
      </c>
      <c r="M70">
        <v>29344</v>
      </c>
      <c r="N70">
        <v>0.31111111111111101</v>
      </c>
      <c r="O70">
        <v>2</v>
      </c>
    </row>
    <row r="71" spans="1:15" x14ac:dyDescent="0.3">
      <c r="A71">
        <v>70</v>
      </c>
      <c r="B71" t="s">
        <v>90</v>
      </c>
      <c r="C71" s="1">
        <v>45327</v>
      </c>
      <c r="D71" t="s">
        <v>25</v>
      </c>
      <c r="E71" t="s">
        <v>26</v>
      </c>
      <c r="F71">
        <v>73360</v>
      </c>
      <c r="G71">
        <v>75456</v>
      </c>
      <c r="H71">
        <v>41920</v>
      </c>
      <c r="I71">
        <v>40872</v>
      </c>
      <c r="J71" t="s">
        <v>17</v>
      </c>
      <c r="K71">
        <v>2096</v>
      </c>
      <c r="L71">
        <v>-1048</v>
      </c>
      <c r="M71">
        <v>34584</v>
      </c>
      <c r="N71">
        <v>0.45833333333333298</v>
      </c>
      <c r="O71">
        <v>2</v>
      </c>
    </row>
    <row r="72" spans="1:15" x14ac:dyDescent="0.3">
      <c r="A72">
        <v>71</v>
      </c>
      <c r="B72" t="s">
        <v>91</v>
      </c>
      <c r="C72" s="1">
        <v>45328</v>
      </c>
      <c r="D72" t="s">
        <v>15</v>
      </c>
      <c r="E72" t="s">
        <v>16</v>
      </c>
      <c r="F72">
        <v>127200</v>
      </c>
      <c r="G72">
        <v>121900</v>
      </c>
      <c r="H72">
        <v>74200</v>
      </c>
      <c r="I72">
        <v>72080</v>
      </c>
      <c r="J72" t="s">
        <v>17</v>
      </c>
      <c r="K72">
        <v>-5300</v>
      </c>
      <c r="L72">
        <v>-2120</v>
      </c>
      <c r="M72">
        <v>49820</v>
      </c>
      <c r="N72">
        <v>0.40869565217391302</v>
      </c>
      <c r="O72">
        <v>2</v>
      </c>
    </row>
    <row r="73" spans="1:15" x14ac:dyDescent="0.3">
      <c r="A73">
        <v>72</v>
      </c>
      <c r="B73" t="s">
        <v>92</v>
      </c>
      <c r="C73" s="1">
        <v>45328</v>
      </c>
      <c r="D73" t="s">
        <v>19</v>
      </c>
      <c r="E73" t="s">
        <v>20</v>
      </c>
      <c r="F73">
        <v>84800</v>
      </c>
      <c r="G73">
        <v>90100</v>
      </c>
      <c r="H73">
        <v>47700</v>
      </c>
      <c r="I73">
        <v>55120</v>
      </c>
      <c r="J73" t="s">
        <v>17</v>
      </c>
      <c r="K73">
        <v>5300</v>
      </c>
      <c r="L73">
        <v>7420</v>
      </c>
      <c r="M73">
        <v>34980</v>
      </c>
      <c r="N73">
        <v>0.38823529411764701</v>
      </c>
      <c r="O73">
        <v>2</v>
      </c>
    </row>
    <row r="74" spans="1:15" x14ac:dyDescent="0.3">
      <c r="A74">
        <v>73</v>
      </c>
      <c r="B74" t="s">
        <v>93</v>
      </c>
      <c r="C74" s="1">
        <v>45328</v>
      </c>
      <c r="D74" t="s">
        <v>22</v>
      </c>
      <c r="E74" t="s">
        <v>23</v>
      </c>
      <c r="F74">
        <v>100700</v>
      </c>
      <c r="G74">
        <v>95400</v>
      </c>
      <c r="H74">
        <v>63600</v>
      </c>
      <c r="I74">
        <v>65720</v>
      </c>
      <c r="J74" t="s">
        <v>17</v>
      </c>
      <c r="K74">
        <v>-5300</v>
      </c>
      <c r="L74">
        <v>2120</v>
      </c>
      <c r="M74">
        <v>29680</v>
      </c>
      <c r="N74">
        <v>0.31111111111111101</v>
      </c>
      <c r="O74">
        <v>2</v>
      </c>
    </row>
    <row r="75" spans="1:15" x14ac:dyDescent="0.3">
      <c r="A75">
        <v>74</v>
      </c>
      <c r="B75" t="s">
        <v>94</v>
      </c>
      <c r="C75" s="1">
        <v>45328</v>
      </c>
      <c r="D75" t="s">
        <v>25</v>
      </c>
      <c r="E75" t="s">
        <v>26</v>
      </c>
      <c r="F75">
        <v>74200</v>
      </c>
      <c r="G75">
        <v>76320</v>
      </c>
      <c r="H75">
        <v>42400</v>
      </c>
      <c r="I75">
        <v>41340</v>
      </c>
      <c r="J75" t="s">
        <v>17</v>
      </c>
      <c r="K75">
        <v>2120</v>
      </c>
      <c r="L75">
        <v>-1060</v>
      </c>
      <c r="M75">
        <v>34980</v>
      </c>
      <c r="N75">
        <v>0.45833333333333298</v>
      </c>
      <c r="O75">
        <v>2</v>
      </c>
    </row>
    <row r="76" spans="1:15" x14ac:dyDescent="0.3">
      <c r="A76">
        <v>75</v>
      </c>
      <c r="B76" t="s">
        <v>95</v>
      </c>
      <c r="C76" s="1">
        <v>45329</v>
      </c>
      <c r="D76" t="s">
        <v>15</v>
      </c>
      <c r="E76" t="s">
        <v>16</v>
      </c>
      <c r="F76">
        <v>128640</v>
      </c>
      <c r="G76">
        <v>123280</v>
      </c>
      <c r="H76">
        <v>75040</v>
      </c>
      <c r="I76">
        <v>72896</v>
      </c>
      <c r="J76" t="s">
        <v>17</v>
      </c>
      <c r="K76">
        <v>-5360</v>
      </c>
      <c r="L76">
        <v>-2144</v>
      </c>
      <c r="M76">
        <v>50384</v>
      </c>
      <c r="N76">
        <v>0.40869565217391302</v>
      </c>
      <c r="O76">
        <v>2</v>
      </c>
    </row>
    <row r="77" spans="1:15" x14ac:dyDescent="0.3">
      <c r="A77">
        <v>76</v>
      </c>
      <c r="B77" t="s">
        <v>96</v>
      </c>
      <c r="C77" s="1">
        <v>45329</v>
      </c>
      <c r="D77" t="s">
        <v>19</v>
      </c>
      <c r="E77" t="s">
        <v>20</v>
      </c>
      <c r="F77">
        <v>85760</v>
      </c>
      <c r="G77">
        <v>91120</v>
      </c>
      <c r="H77">
        <v>48240</v>
      </c>
      <c r="I77">
        <v>55744</v>
      </c>
      <c r="J77" t="s">
        <v>17</v>
      </c>
      <c r="K77">
        <v>5360</v>
      </c>
      <c r="L77">
        <v>7504</v>
      </c>
      <c r="M77">
        <v>35376</v>
      </c>
      <c r="N77">
        <v>0.38823529411764701</v>
      </c>
      <c r="O77">
        <v>2</v>
      </c>
    </row>
    <row r="78" spans="1:15" x14ac:dyDescent="0.3">
      <c r="A78">
        <v>77</v>
      </c>
      <c r="B78" t="s">
        <v>97</v>
      </c>
      <c r="C78" s="1">
        <v>45329</v>
      </c>
      <c r="D78" t="s">
        <v>22</v>
      </c>
      <c r="E78" t="s">
        <v>23</v>
      </c>
      <c r="F78">
        <v>101840</v>
      </c>
      <c r="G78">
        <v>96480</v>
      </c>
      <c r="H78">
        <v>64320</v>
      </c>
      <c r="I78">
        <v>66464</v>
      </c>
      <c r="J78" t="s">
        <v>17</v>
      </c>
      <c r="K78">
        <v>-5360</v>
      </c>
      <c r="L78">
        <v>2144</v>
      </c>
      <c r="M78">
        <v>30016</v>
      </c>
      <c r="N78">
        <v>0.31111111111111101</v>
      </c>
      <c r="O78">
        <v>2</v>
      </c>
    </row>
    <row r="79" spans="1:15" x14ac:dyDescent="0.3">
      <c r="A79">
        <v>78</v>
      </c>
      <c r="B79" t="s">
        <v>98</v>
      </c>
      <c r="C79" s="1">
        <v>45329</v>
      </c>
      <c r="D79" t="s">
        <v>25</v>
      </c>
      <c r="E79" t="s">
        <v>26</v>
      </c>
      <c r="F79">
        <v>75040</v>
      </c>
      <c r="G79">
        <v>77184</v>
      </c>
      <c r="H79">
        <v>42880</v>
      </c>
      <c r="I79">
        <v>41808</v>
      </c>
      <c r="J79" t="s">
        <v>17</v>
      </c>
      <c r="K79">
        <v>2144</v>
      </c>
      <c r="L79">
        <v>-1072</v>
      </c>
      <c r="M79">
        <v>35376</v>
      </c>
      <c r="N79">
        <v>0.45833333333333298</v>
      </c>
      <c r="O79">
        <v>2</v>
      </c>
    </row>
    <row r="80" spans="1:15" x14ac:dyDescent="0.3">
      <c r="A80">
        <v>79</v>
      </c>
      <c r="B80" t="s">
        <v>99</v>
      </c>
      <c r="C80" s="1">
        <v>45330</v>
      </c>
      <c r="D80" t="s">
        <v>15</v>
      </c>
      <c r="E80" t="s">
        <v>16</v>
      </c>
      <c r="F80">
        <v>130080</v>
      </c>
      <c r="G80">
        <v>124660</v>
      </c>
      <c r="H80">
        <v>75880</v>
      </c>
      <c r="I80">
        <v>73712</v>
      </c>
      <c r="J80" t="s">
        <v>17</v>
      </c>
      <c r="K80">
        <v>-5420</v>
      </c>
      <c r="L80">
        <v>-2168</v>
      </c>
      <c r="M80">
        <v>50948</v>
      </c>
      <c r="N80">
        <v>0.40869565217391302</v>
      </c>
      <c r="O80">
        <v>2</v>
      </c>
    </row>
    <row r="81" spans="1:15" x14ac:dyDescent="0.3">
      <c r="A81">
        <v>80</v>
      </c>
      <c r="B81" t="s">
        <v>100</v>
      </c>
      <c r="C81" s="1">
        <v>45330</v>
      </c>
      <c r="D81" t="s">
        <v>19</v>
      </c>
      <c r="E81" t="s">
        <v>20</v>
      </c>
      <c r="F81">
        <v>86720</v>
      </c>
      <c r="G81">
        <v>92140</v>
      </c>
      <c r="H81">
        <v>48780</v>
      </c>
      <c r="I81">
        <v>65000</v>
      </c>
      <c r="J81" t="s">
        <v>17</v>
      </c>
      <c r="K81">
        <v>5420</v>
      </c>
      <c r="L81">
        <v>16220</v>
      </c>
      <c r="M81">
        <v>27140</v>
      </c>
      <c r="N81">
        <v>0.29455176904710201</v>
      </c>
      <c r="O81">
        <v>2</v>
      </c>
    </row>
    <row r="82" spans="1:15" x14ac:dyDescent="0.3">
      <c r="A82">
        <v>81</v>
      </c>
      <c r="B82" t="s">
        <v>101</v>
      </c>
      <c r="C82" s="1">
        <v>45330</v>
      </c>
      <c r="D82" t="s">
        <v>22</v>
      </c>
      <c r="E82" t="s">
        <v>23</v>
      </c>
      <c r="F82">
        <v>102980</v>
      </c>
      <c r="G82">
        <v>97560</v>
      </c>
      <c r="H82">
        <v>65040</v>
      </c>
      <c r="I82">
        <v>67208</v>
      </c>
      <c r="J82" t="s">
        <v>17</v>
      </c>
      <c r="K82">
        <v>-5420</v>
      </c>
      <c r="L82">
        <v>2168</v>
      </c>
      <c r="M82">
        <v>30352</v>
      </c>
      <c r="N82">
        <v>0.31111111111111101</v>
      </c>
      <c r="O82">
        <v>2</v>
      </c>
    </row>
    <row r="83" spans="1:15" x14ac:dyDescent="0.3">
      <c r="A83">
        <v>82</v>
      </c>
      <c r="B83" t="s">
        <v>102</v>
      </c>
      <c r="C83" s="1">
        <v>45330</v>
      </c>
      <c r="D83" t="s">
        <v>25</v>
      </c>
      <c r="E83" t="s">
        <v>26</v>
      </c>
      <c r="F83">
        <v>75880</v>
      </c>
      <c r="G83">
        <v>78048</v>
      </c>
      <c r="H83">
        <v>43360</v>
      </c>
      <c r="I83">
        <v>42276</v>
      </c>
      <c r="J83" t="s">
        <v>17</v>
      </c>
      <c r="K83">
        <v>2168</v>
      </c>
      <c r="L83">
        <v>-1084</v>
      </c>
      <c r="M83">
        <v>35772</v>
      </c>
      <c r="N83">
        <v>0.45833333333333298</v>
      </c>
      <c r="O83">
        <v>2</v>
      </c>
    </row>
    <row r="84" spans="1:15" x14ac:dyDescent="0.3">
      <c r="A84">
        <v>83</v>
      </c>
      <c r="B84" t="s">
        <v>103</v>
      </c>
      <c r="C84" s="1">
        <v>45331</v>
      </c>
      <c r="D84" t="s">
        <v>15</v>
      </c>
      <c r="E84" t="s">
        <v>16</v>
      </c>
      <c r="F84">
        <v>131520</v>
      </c>
      <c r="G84">
        <v>126040</v>
      </c>
      <c r="H84">
        <v>76720</v>
      </c>
      <c r="I84">
        <v>74528</v>
      </c>
      <c r="J84" t="s">
        <v>17</v>
      </c>
      <c r="K84">
        <v>-5480</v>
      </c>
      <c r="L84">
        <v>-2192</v>
      </c>
      <c r="M84">
        <v>51512</v>
      </c>
      <c r="N84">
        <v>0.40869565217391302</v>
      </c>
      <c r="O84">
        <v>2</v>
      </c>
    </row>
    <row r="85" spans="1:15" x14ac:dyDescent="0.3">
      <c r="A85">
        <v>84</v>
      </c>
      <c r="B85" t="s">
        <v>104</v>
      </c>
      <c r="C85" s="1">
        <v>45331</v>
      </c>
      <c r="D85" t="s">
        <v>19</v>
      </c>
      <c r="E85" t="s">
        <v>20</v>
      </c>
      <c r="F85">
        <v>87680</v>
      </c>
      <c r="G85">
        <v>93160</v>
      </c>
      <c r="H85">
        <v>49320</v>
      </c>
      <c r="I85">
        <v>56992</v>
      </c>
      <c r="J85" t="s">
        <v>17</v>
      </c>
      <c r="K85">
        <v>5480</v>
      </c>
      <c r="L85">
        <v>7672</v>
      </c>
      <c r="M85">
        <v>36168</v>
      </c>
      <c r="N85">
        <v>0.38823529411764701</v>
      </c>
      <c r="O85">
        <v>2</v>
      </c>
    </row>
    <row r="86" spans="1:15" x14ac:dyDescent="0.3">
      <c r="A86">
        <v>85</v>
      </c>
      <c r="B86" t="s">
        <v>105</v>
      </c>
      <c r="C86" s="1">
        <v>45331</v>
      </c>
      <c r="D86" t="s">
        <v>22</v>
      </c>
      <c r="E86" t="s">
        <v>23</v>
      </c>
      <c r="F86">
        <v>104120</v>
      </c>
      <c r="G86">
        <v>98640</v>
      </c>
      <c r="H86">
        <v>65760</v>
      </c>
      <c r="I86">
        <v>67952</v>
      </c>
      <c r="J86" t="s">
        <v>17</v>
      </c>
      <c r="K86">
        <v>-5480</v>
      </c>
      <c r="L86">
        <v>2192</v>
      </c>
      <c r="M86">
        <v>30688</v>
      </c>
      <c r="N86">
        <v>0.31111111111111101</v>
      </c>
      <c r="O86">
        <v>2</v>
      </c>
    </row>
    <row r="87" spans="1:15" x14ac:dyDescent="0.3">
      <c r="A87">
        <v>86</v>
      </c>
      <c r="B87" t="s">
        <v>106</v>
      </c>
      <c r="C87" s="1">
        <v>45331</v>
      </c>
      <c r="D87" t="s">
        <v>25</v>
      </c>
      <c r="E87" t="s">
        <v>26</v>
      </c>
      <c r="F87">
        <v>76720</v>
      </c>
      <c r="G87">
        <v>78912</v>
      </c>
      <c r="H87">
        <v>43840</v>
      </c>
      <c r="I87">
        <v>42744</v>
      </c>
      <c r="J87" t="s">
        <v>17</v>
      </c>
      <c r="K87">
        <v>2192</v>
      </c>
      <c r="L87">
        <v>-1096</v>
      </c>
      <c r="M87">
        <v>36168</v>
      </c>
      <c r="N87">
        <v>0.45833333333333298</v>
      </c>
      <c r="O87">
        <v>2</v>
      </c>
    </row>
    <row r="88" spans="1:15" x14ac:dyDescent="0.3">
      <c r="A88">
        <v>87</v>
      </c>
      <c r="B88" t="s">
        <v>107</v>
      </c>
      <c r="C88" s="1">
        <v>45332</v>
      </c>
      <c r="D88" t="s">
        <v>15</v>
      </c>
      <c r="E88" t="s">
        <v>16</v>
      </c>
      <c r="F88">
        <v>132960</v>
      </c>
      <c r="G88">
        <v>127420</v>
      </c>
      <c r="H88">
        <v>77560</v>
      </c>
      <c r="I88">
        <v>75344</v>
      </c>
      <c r="J88" t="s">
        <v>17</v>
      </c>
      <c r="K88">
        <v>-5540</v>
      </c>
      <c r="L88">
        <v>-2216</v>
      </c>
      <c r="M88">
        <v>52076</v>
      </c>
      <c r="N88">
        <v>0.40869565217391302</v>
      </c>
      <c r="O88">
        <v>2</v>
      </c>
    </row>
    <row r="89" spans="1:15" x14ac:dyDescent="0.3">
      <c r="A89">
        <v>88</v>
      </c>
      <c r="B89" t="s">
        <v>108</v>
      </c>
      <c r="C89" s="1">
        <v>45332</v>
      </c>
      <c r="D89" t="s">
        <v>19</v>
      </c>
      <c r="E89" t="s">
        <v>20</v>
      </c>
      <c r="F89">
        <v>88640</v>
      </c>
      <c r="G89">
        <v>94180</v>
      </c>
      <c r="H89">
        <v>49860</v>
      </c>
      <c r="I89">
        <v>57616</v>
      </c>
      <c r="J89" t="s">
        <v>17</v>
      </c>
      <c r="K89">
        <v>5540</v>
      </c>
      <c r="L89">
        <v>7756</v>
      </c>
      <c r="M89">
        <v>36564</v>
      </c>
      <c r="N89">
        <v>0.38823529411764701</v>
      </c>
      <c r="O89">
        <v>2</v>
      </c>
    </row>
    <row r="90" spans="1:15" x14ac:dyDescent="0.3">
      <c r="A90">
        <v>89</v>
      </c>
      <c r="B90" t="s">
        <v>109</v>
      </c>
      <c r="C90" s="1">
        <v>45332</v>
      </c>
      <c r="D90" t="s">
        <v>22</v>
      </c>
      <c r="E90" t="s">
        <v>23</v>
      </c>
      <c r="F90">
        <v>105260</v>
      </c>
      <c r="G90">
        <v>99720</v>
      </c>
      <c r="H90">
        <v>66480</v>
      </c>
      <c r="I90">
        <v>68696</v>
      </c>
      <c r="J90" t="s">
        <v>17</v>
      </c>
      <c r="K90">
        <v>-5540</v>
      </c>
      <c r="L90">
        <v>2216</v>
      </c>
      <c r="M90">
        <v>31024</v>
      </c>
      <c r="N90">
        <v>0.31111111111111101</v>
      </c>
      <c r="O90">
        <v>2</v>
      </c>
    </row>
    <row r="91" spans="1:15" x14ac:dyDescent="0.3">
      <c r="A91">
        <v>90</v>
      </c>
      <c r="B91" t="s">
        <v>110</v>
      </c>
      <c r="C91" s="1">
        <v>45332</v>
      </c>
      <c r="D91" t="s">
        <v>25</v>
      </c>
      <c r="E91" t="s">
        <v>26</v>
      </c>
      <c r="F91">
        <v>77560</v>
      </c>
      <c r="G91">
        <v>79776</v>
      </c>
      <c r="H91">
        <v>44320</v>
      </c>
      <c r="I91">
        <v>43212</v>
      </c>
      <c r="J91" t="s">
        <v>17</v>
      </c>
      <c r="K91">
        <v>2216</v>
      </c>
      <c r="L91">
        <v>-1108</v>
      </c>
      <c r="M91">
        <v>36564</v>
      </c>
      <c r="N91">
        <v>0.45833333333333298</v>
      </c>
      <c r="O91">
        <v>2</v>
      </c>
    </row>
    <row r="92" spans="1:15" x14ac:dyDescent="0.3">
      <c r="A92">
        <v>91</v>
      </c>
      <c r="B92" t="s">
        <v>111</v>
      </c>
      <c r="C92" s="1">
        <v>45333</v>
      </c>
      <c r="D92" t="s">
        <v>15</v>
      </c>
      <c r="E92" t="s">
        <v>16</v>
      </c>
      <c r="F92">
        <v>134400</v>
      </c>
      <c r="G92">
        <v>99280</v>
      </c>
      <c r="H92">
        <v>78400</v>
      </c>
      <c r="I92">
        <v>76160</v>
      </c>
      <c r="J92" t="s">
        <v>17</v>
      </c>
      <c r="K92">
        <v>-35120</v>
      </c>
      <c r="L92">
        <v>-2240</v>
      </c>
      <c r="M92">
        <v>23120</v>
      </c>
      <c r="N92">
        <v>0.232876712328767</v>
      </c>
      <c r="O92">
        <v>2</v>
      </c>
    </row>
    <row r="93" spans="1:15" x14ac:dyDescent="0.3">
      <c r="A93">
        <v>92</v>
      </c>
      <c r="B93" t="s">
        <v>112</v>
      </c>
      <c r="C93" s="1">
        <v>45333</v>
      </c>
      <c r="D93" t="s">
        <v>19</v>
      </c>
      <c r="E93" t="s">
        <v>20</v>
      </c>
      <c r="F93">
        <v>89600</v>
      </c>
      <c r="G93">
        <v>95200</v>
      </c>
      <c r="H93">
        <v>50400</v>
      </c>
      <c r="I93">
        <v>58240</v>
      </c>
      <c r="J93" t="s">
        <v>17</v>
      </c>
      <c r="K93">
        <v>5600</v>
      </c>
      <c r="L93">
        <v>7840</v>
      </c>
      <c r="M93">
        <v>36960</v>
      </c>
      <c r="N93">
        <v>0.38823529411764701</v>
      </c>
      <c r="O93">
        <v>2</v>
      </c>
    </row>
    <row r="94" spans="1:15" x14ac:dyDescent="0.3">
      <c r="A94">
        <v>93</v>
      </c>
      <c r="B94" t="s">
        <v>113</v>
      </c>
      <c r="C94" s="1">
        <v>45333</v>
      </c>
      <c r="D94" t="s">
        <v>22</v>
      </c>
      <c r="E94" t="s">
        <v>23</v>
      </c>
      <c r="F94">
        <v>106400</v>
      </c>
      <c r="G94">
        <v>100800</v>
      </c>
      <c r="H94">
        <v>67200</v>
      </c>
      <c r="I94">
        <v>69440</v>
      </c>
      <c r="J94" t="s">
        <v>17</v>
      </c>
      <c r="K94">
        <v>-5600</v>
      </c>
      <c r="L94">
        <v>2240</v>
      </c>
      <c r="M94">
        <v>31360</v>
      </c>
      <c r="N94">
        <v>0.31111111111111101</v>
      </c>
      <c r="O94">
        <v>2</v>
      </c>
    </row>
    <row r="95" spans="1:15" x14ac:dyDescent="0.3">
      <c r="A95">
        <v>94</v>
      </c>
      <c r="B95" t="s">
        <v>114</v>
      </c>
      <c r="C95" s="1">
        <v>45333</v>
      </c>
      <c r="D95" t="s">
        <v>25</v>
      </c>
      <c r="E95" t="s">
        <v>26</v>
      </c>
      <c r="F95">
        <v>78400</v>
      </c>
      <c r="G95">
        <v>80640</v>
      </c>
      <c r="H95">
        <v>44800</v>
      </c>
      <c r="I95">
        <v>43680</v>
      </c>
      <c r="J95" t="s">
        <v>17</v>
      </c>
      <c r="K95">
        <v>2240</v>
      </c>
      <c r="L95">
        <v>-1120</v>
      </c>
      <c r="M95">
        <v>36960</v>
      </c>
      <c r="N95">
        <v>0.45833333333333298</v>
      </c>
      <c r="O95">
        <v>2</v>
      </c>
    </row>
    <row r="96" spans="1:15" x14ac:dyDescent="0.3">
      <c r="A96">
        <v>95</v>
      </c>
      <c r="B96" t="s">
        <v>115</v>
      </c>
      <c r="C96" s="1">
        <v>45334</v>
      </c>
      <c r="D96" t="s">
        <v>15</v>
      </c>
      <c r="E96" t="s">
        <v>16</v>
      </c>
      <c r="F96">
        <v>135840</v>
      </c>
      <c r="G96">
        <v>130180</v>
      </c>
      <c r="H96">
        <v>79240</v>
      </c>
      <c r="I96">
        <v>76976</v>
      </c>
      <c r="J96" t="s">
        <v>17</v>
      </c>
      <c r="K96">
        <v>-5660</v>
      </c>
      <c r="L96">
        <v>-2264</v>
      </c>
      <c r="M96">
        <v>53204</v>
      </c>
      <c r="N96">
        <v>0.40869565217391302</v>
      </c>
      <c r="O96">
        <v>2</v>
      </c>
    </row>
    <row r="97" spans="1:15" x14ac:dyDescent="0.3">
      <c r="A97">
        <v>96</v>
      </c>
      <c r="B97" t="s">
        <v>116</v>
      </c>
      <c r="C97" s="1">
        <v>45334</v>
      </c>
      <c r="D97" t="s">
        <v>19</v>
      </c>
      <c r="E97" t="s">
        <v>20</v>
      </c>
      <c r="F97">
        <v>90560</v>
      </c>
      <c r="G97">
        <v>96220</v>
      </c>
      <c r="H97">
        <v>50940</v>
      </c>
      <c r="I97">
        <v>58864</v>
      </c>
      <c r="J97" t="s">
        <v>17</v>
      </c>
      <c r="K97">
        <v>5660</v>
      </c>
      <c r="L97">
        <v>7924</v>
      </c>
      <c r="M97">
        <v>37356</v>
      </c>
      <c r="N97">
        <v>0.38823529411764701</v>
      </c>
      <c r="O97">
        <v>2</v>
      </c>
    </row>
    <row r="98" spans="1:15" x14ac:dyDescent="0.3">
      <c r="A98">
        <v>97</v>
      </c>
      <c r="B98" t="s">
        <v>117</v>
      </c>
      <c r="C98" s="1">
        <v>45334</v>
      </c>
      <c r="D98" t="s">
        <v>22</v>
      </c>
      <c r="E98" t="s">
        <v>23</v>
      </c>
      <c r="F98">
        <v>107540</v>
      </c>
      <c r="G98">
        <v>101880</v>
      </c>
      <c r="H98">
        <v>67920</v>
      </c>
      <c r="I98">
        <v>70184</v>
      </c>
      <c r="J98" t="s">
        <v>17</v>
      </c>
      <c r="K98">
        <v>-5660</v>
      </c>
      <c r="L98">
        <v>2264</v>
      </c>
      <c r="M98">
        <v>31696</v>
      </c>
      <c r="N98">
        <v>0.31111111111111101</v>
      </c>
      <c r="O98">
        <v>2</v>
      </c>
    </row>
    <row r="99" spans="1:15" x14ac:dyDescent="0.3">
      <c r="A99">
        <v>98</v>
      </c>
      <c r="B99" t="s">
        <v>118</v>
      </c>
      <c r="C99" s="1">
        <v>45334</v>
      </c>
      <c r="D99" t="s">
        <v>25</v>
      </c>
      <c r="E99" t="s">
        <v>26</v>
      </c>
      <c r="F99">
        <v>79240</v>
      </c>
      <c r="G99">
        <v>81504</v>
      </c>
      <c r="H99">
        <v>45280</v>
      </c>
      <c r="I99">
        <v>44148</v>
      </c>
      <c r="J99" t="s">
        <v>17</v>
      </c>
      <c r="K99">
        <v>2264</v>
      </c>
      <c r="L99">
        <v>-1132</v>
      </c>
      <c r="M99">
        <v>37356</v>
      </c>
      <c r="N99">
        <v>0.45833333333333298</v>
      </c>
      <c r="O99">
        <v>2</v>
      </c>
    </row>
    <row r="100" spans="1:15" x14ac:dyDescent="0.3">
      <c r="A100">
        <v>99</v>
      </c>
      <c r="B100" t="s">
        <v>119</v>
      </c>
      <c r="C100" s="1">
        <v>45717</v>
      </c>
      <c r="D100" t="s">
        <v>15</v>
      </c>
      <c r="E100" t="s">
        <v>16</v>
      </c>
      <c r="F100">
        <v>137280</v>
      </c>
      <c r="G100">
        <v>131560</v>
      </c>
      <c r="H100">
        <v>80080</v>
      </c>
      <c r="I100">
        <v>77792</v>
      </c>
      <c r="J100" t="s">
        <v>17</v>
      </c>
      <c r="K100">
        <v>-5720</v>
      </c>
      <c r="L100">
        <v>-2288</v>
      </c>
      <c r="M100">
        <v>53768</v>
      </c>
      <c r="N100">
        <v>0.40869565217391302</v>
      </c>
      <c r="O100">
        <v>3</v>
      </c>
    </row>
    <row r="101" spans="1:15" x14ac:dyDescent="0.3">
      <c r="A101">
        <v>100</v>
      </c>
      <c r="B101" t="s">
        <v>120</v>
      </c>
      <c r="C101" s="1">
        <v>45717</v>
      </c>
      <c r="D101" t="s">
        <v>19</v>
      </c>
      <c r="E101" t="s">
        <v>20</v>
      </c>
      <c r="F101">
        <v>91520</v>
      </c>
      <c r="G101">
        <v>97240</v>
      </c>
      <c r="H101">
        <v>51480</v>
      </c>
      <c r="I101">
        <v>59488</v>
      </c>
      <c r="J101" t="s">
        <v>17</v>
      </c>
      <c r="K101">
        <v>5720</v>
      </c>
      <c r="L101">
        <v>8008</v>
      </c>
      <c r="M101">
        <v>37752</v>
      </c>
      <c r="N101">
        <v>0.38823529411764701</v>
      </c>
      <c r="O101">
        <v>3</v>
      </c>
    </row>
    <row r="102" spans="1:15" x14ac:dyDescent="0.3">
      <c r="A102">
        <v>101</v>
      </c>
      <c r="B102" t="s">
        <v>121</v>
      </c>
      <c r="C102" s="1">
        <v>45717</v>
      </c>
      <c r="D102" t="s">
        <v>22</v>
      </c>
      <c r="E102" t="s">
        <v>23</v>
      </c>
      <c r="F102">
        <v>108680</v>
      </c>
      <c r="G102">
        <v>102960</v>
      </c>
      <c r="H102">
        <v>68640</v>
      </c>
      <c r="I102">
        <v>70928</v>
      </c>
      <c r="J102" t="s">
        <v>17</v>
      </c>
      <c r="K102">
        <v>-5720</v>
      </c>
      <c r="L102">
        <v>2288</v>
      </c>
      <c r="M102">
        <v>32032</v>
      </c>
      <c r="N102">
        <v>0.31111111111111101</v>
      </c>
      <c r="O102">
        <v>3</v>
      </c>
    </row>
    <row r="103" spans="1:15" x14ac:dyDescent="0.3">
      <c r="A103">
        <v>102</v>
      </c>
      <c r="B103" t="s">
        <v>122</v>
      </c>
      <c r="C103" s="1">
        <v>45717</v>
      </c>
      <c r="D103" t="s">
        <v>25</v>
      </c>
      <c r="E103" t="s">
        <v>26</v>
      </c>
      <c r="F103">
        <v>80080</v>
      </c>
      <c r="G103">
        <v>82368</v>
      </c>
      <c r="H103">
        <v>45760</v>
      </c>
      <c r="I103">
        <v>64728</v>
      </c>
      <c r="J103" t="s">
        <v>17</v>
      </c>
      <c r="K103">
        <v>2288</v>
      </c>
      <c r="L103">
        <v>18968</v>
      </c>
      <c r="M103">
        <v>17640</v>
      </c>
      <c r="N103">
        <v>0.214160839160839</v>
      </c>
      <c r="O103">
        <v>3</v>
      </c>
    </row>
    <row r="104" spans="1:15" x14ac:dyDescent="0.3">
      <c r="A104">
        <v>103</v>
      </c>
      <c r="B104" t="s">
        <v>123</v>
      </c>
      <c r="C104" s="1">
        <v>45718</v>
      </c>
      <c r="D104" t="s">
        <v>15</v>
      </c>
      <c r="E104" t="s">
        <v>16</v>
      </c>
      <c r="F104">
        <v>138720</v>
      </c>
      <c r="G104">
        <v>132940</v>
      </c>
      <c r="H104">
        <v>80920</v>
      </c>
      <c r="I104">
        <v>78608</v>
      </c>
      <c r="J104" t="s">
        <v>17</v>
      </c>
      <c r="K104">
        <v>-5780</v>
      </c>
      <c r="L104">
        <v>-2312</v>
      </c>
      <c r="M104">
        <v>54332</v>
      </c>
      <c r="N104">
        <v>0.40869565217391302</v>
      </c>
      <c r="O104">
        <v>3</v>
      </c>
    </row>
    <row r="105" spans="1:15" x14ac:dyDescent="0.3">
      <c r="A105">
        <v>104</v>
      </c>
      <c r="B105" t="s">
        <v>124</v>
      </c>
      <c r="C105" s="1">
        <v>45718</v>
      </c>
      <c r="D105" t="s">
        <v>19</v>
      </c>
      <c r="E105" t="s">
        <v>20</v>
      </c>
      <c r="F105">
        <v>92480</v>
      </c>
      <c r="G105">
        <v>98260</v>
      </c>
      <c r="H105">
        <v>52020</v>
      </c>
      <c r="I105">
        <v>60112</v>
      </c>
      <c r="J105" t="s">
        <v>17</v>
      </c>
      <c r="K105">
        <v>5780</v>
      </c>
      <c r="L105">
        <v>8092</v>
      </c>
      <c r="M105">
        <v>38148</v>
      </c>
      <c r="N105">
        <v>0.38823529411764701</v>
      </c>
      <c r="O105">
        <v>3</v>
      </c>
    </row>
    <row r="106" spans="1:15" x14ac:dyDescent="0.3">
      <c r="A106">
        <v>105</v>
      </c>
      <c r="B106" t="s">
        <v>125</v>
      </c>
      <c r="C106" s="1">
        <v>45718</v>
      </c>
      <c r="D106" t="s">
        <v>22</v>
      </c>
      <c r="E106" t="s">
        <v>23</v>
      </c>
      <c r="F106">
        <v>109820</v>
      </c>
      <c r="G106">
        <v>104040</v>
      </c>
      <c r="H106">
        <v>69360</v>
      </c>
      <c r="I106">
        <v>71672</v>
      </c>
      <c r="J106" t="s">
        <v>17</v>
      </c>
      <c r="K106">
        <v>-5780</v>
      </c>
      <c r="L106">
        <v>2312</v>
      </c>
      <c r="M106">
        <v>32368</v>
      </c>
      <c r="N106">
        <v>0.31111111111111101</v>
      </c>
      <c r="O106">
        <v>3</v>
      </c>
    </row>
    <row r="107" spans="1:15" x14ac:dyDescent="0.3">
      <c r="A107">
        <v>106</v>
      </c>
      <c r="B107" t="s">
        <v>126</v>
      </c>
      <c r="C107" s="1">
        <v>45718</v>
      </c>
      <c r="D107" t="s">
        <v>25</v>
      </c>
      <c r="E107" t="s">
        <v>26</v>
      </c>
      <c r="F107">
        <v>80920</v>
      </c>
      <c r="G107">
        <v>83232</v>
      </c>
      <c r="H107">
        <v>46240</v>
      </c>
      <c r="I107">
        <v>45084</v>
      </c>
      <c r="J107" t="s">
        <v>17</v>
      </c>
      <c r="K107">
        <v>2312</v>
      </c>
      <c r="L107">
        <v>-1156</v>
      </c>
      <c r="M107">
        <v>38148</v>
      </c>
      <c r="N107">
        <v>0.45833333333333298</v>
      </c>
      <c r="O107">
        <v>3</v>
      </c>
    </row>
    <row r="108" spans="1:15" x14ac:dyDescent="0.3">
      <c r="A108">
        <v>107</v>
      </c>
      <c r="B108" t="s">
        <v>127</v>
      </c>
      <c r="C108" s="1">
        <v>45719</v>
      </c>
      <c r="D108" t="s">
        <v>15</v>
      </c>
      <c r="E108" t="s">
        <v>16</v>
      </c>
      <c r="F108">
        <v>140160</v>
      </c>
      <c r="G108">
        <v>134320</v>
      </c>
      <c r="H108">
        <v>81760</v>
      </c>
      <c r="I108">
        <v>79424</v>
      </c>
      <c r="J108" t="s">
        <v>17</v>
      </c>
      <c r="K108">
        <v>-5840</v>
      </c>
      <c r="L108">
        <v>-2336</v>
      </c>
      <c r="M108">
        <v>54896</v>
      </c>
      <c r="N108">
        <v>0.40869565217391302</v>
      </c>
      <c r="O108">
        <v>3</v>
      </c>
    </row>
    <row r="109" spans="1:15" x14ac:dyDescent="0.3">
      <c r="A109">
        <v>108</v>
      </c>
      <c r="B109" t="s">
        <v>128</v>
      </c>
      <c r="C109" s="1">
        <v>45719</v>
      </c>
      <c r="D109" t="s">
        <v>19</v>
      </c>
      <c r="E109" t="s">
        <v>20</v>
      </c>
      <c r="F109">
        <v>93440</v>
      </c>
      <c r="G109">
        <v>99280</v>
      </c>
      <c r="H109">
        <v>52560</v>
      </c>
      <c r="I109">
        <v>60736</v>
      </c>
      <c r="J109" t="s">
        <v>17</v>
      </c>
      <c r="K109">
        <v>5840</v>
      </c>
      <c r="L109">
        <v>8176</v>
      </c>
      <c r="M109">
        <v>38544</v>
      </c>
      <c r="N109">
        <v>0.38823529411764701</v>
      </c>
      <c r="O109">
        <v>3</v>
      </c>
    </row>
    <row r="110" spans="1:15" x14ac:dyDescent="0.3">
      <c r="A110">
        <v>109</v>
      </c>
      <c r="B110" t="s">
        <v>129</v>
      </c>
      <c r="C110" s="1">
        <v>45719</v>
      </c>
      <c r="D110" t="s">
        <v>22</v>
      </c>
      <c r="E110" t="s">
        <v>23</v>
      </c>
      <c r="F110">
        <v>110960</v>
      </c>
      <c r="G110">
        <v>105120</v>
      </c>
      <c r="H110">
        <v>70080</v>
      </c>
      <c r="I110">
        <v>72416</v>
      </c>
      <c r="J110" t="s">
        <v>17</v>
      </c>
      <c r="K110">
        <v>-5840</v>
      </c>
      <c r="L110">
        <v>2336</v>
      </c>
      <c r="M110">
        <v>32704</v>
      </c>
      <c r="N110">
        <v>0.31111111111111101</v>
      </c>
      <c r="O110">
        <v>3</v>
      </c>
    </row>
    <row r="111" spans="1:15" x14ac:dyDescent="0.3">
      <c r="A111">
        <v>110</v>
      </c>
      <c r="B111" t="s">
        <v>130</v>
      </c>
      <c r="C111" s="1">
        <v>45719</v>
      </c>
      <c r="D111" t="s">
        <v>25</v>
      </c>
      <c r="E111" t="s">
        <v>26</v>
      </c>
      <c r="F111">
        <v>81760</v>
      </c>
      <c r="G111">
        <v>84096</v>
      </c>
      <c r="H111">
        <v>46720</v>
      </c>
      <c r="I111">
        <v>45552</v>
      </c>
      <c r="J111" t="s">
        <v>17</v>
      </c>
      <c r="K111">
        <v>2336</v>
      </c>
      <c r="L111">
        <v>-1168</v>
      </c>
      <c r="M111">
        <v>38544</v>
      </c>
      <c r="N111">
        <v>0.45833333333333298</v>
      </c>
      <c r="O111">
        <v>3</v>
      </c>
    </row>
    <row r="112" spans="1:15" x14ac:dyDescent="0.3">
      <c r="A112">
        <v>111</v>
      </c>
      <c r="B112" t="s">
        <v>131</v>
      </c>
      <c r="C112" s="1">
        <v>45720</v>
      </c>
      <c r="D112" t="s">
        <v>15</v>
      </c>
      <c r="E112" t="s">
        <v>16</v>
      </c>
      <c r="F112">
        <v>141600</v>
      </c>
      <c r="G112">
        <v>135700</v>
      </c>
      <c r="H112">
        <v>82600</v>
      </c>
      <c r="I112">
        <v>80240</v>
      </c>
      <c r="J112" t="s">
        <v>17</v>
      </c>
      <c r="K112">
        <v>-5900</v>
      </c>
      <c r="L112">
        <v>-2360</v>
      </c>
      <c r="M112">
        <v>55460</v>
      </c>
      <c r="N112">
        <v>0.40869565217391302</v>
      </c>
      <c r="O112">
        <v>3</v>
      </c>
    </row>
    <row r="113" spans="1:15" x14ac:dyDescent="0.3">
      <c r="A113">
        <v>112</v>
      </c>
      <c r="B113" t="s">
        <v>132</v>
      </c>
      <c r="C113" s="1">
        <v>45720</v>
      </c>
      <c r="D113" t="s">
        <v>19</v>
      </c>
      <c r="E113" t="s">
        <v>20</v>
      </c>
      <c r="F113">
        <v>94400</v>
      </c>
      <c r="G113">
        <v>100300</v>
      </c>
      <c r="H113">
        <v>53100</v>
      </c>
      <c r="I113">
        <v>61360</v>
      </c>
      <c r="J113" t="s">
        <v>17</v>
      </c>
      <c r="K113">
        <v>5900</v>
      </c>
      <c r="L113">
        <v>8260</v>
      </c>
      <c r="M113">
        <v>38940</v>
      </c>
      <c r="N113">
        <v>0.38823529411764701</v>
      </c>
      <c r="O113">
        <v>3</v>
      </c>
    </row>
    <row r="114" spans="1:15" x14ac:dyDescent="0.3">
      <c r="A114">
        <v>113</v>
      </c>
      <c r="B114" t="s">
        <v>133</v>
      </c>
      <c r="C114" s="1">
        <v>45720</v>
      </c>
      <c r="D114" t="s">
        <v>22</v>
      </c>
      <c r="E114" t="s">
        <v>23</v>
      </c>
      <c r="F114">
        <v>112100</v>
      </c>
      <c r="G114">
        <v>106200</v>
      </c>
      <c r="H114">
        <v>70800</v>
      </c>
      <c r="I114">
        <v>73160</v>
      </c>
      <c r="J114" t="s">
        <v>17</v>
      </c>
      <c r="K114">
        <v>-5900</v>
      </c>
      <c r="L114">
        <v>2360</v>
      </c>
      <c r="M114">
        <v>33040</v>
      </c>
      <c r="N114">
        <v>0.31111111111111101</v>
      </c>
      <c r="O114">
        <v>3</v>
      </c>
    </row>
    <row r="115" spans="1:15" x14ac:dyDescent="0.3">
      <c r="A115">
        <v>114</v>
      </c>
      <c r="B115" t="s">
        <v>134</v>
      </c>
      <c r="C115" s="1">
        <v>45720</v>
      </c>
      <c r="D115" t="s">
        <v>25</v>
      </c>
      <c r="E115" t="s">
        <v>26</v>
      </c>
      <c r="F115">
        <v>82600</v>
      </c>
      <c r="G115">
        <v>84960</v>
      </c>
      <c r="H115">
        <v>47200</v>
      </c>
      <c r="I115">
        <v>46020</v>
      </c>
      <c r="J115" t="s">
        <v>17</v>
      </c>
      <c r="K115">
        <v>2360</v>
      </c>
      <c r="L115">
        <v>-1180</v>
      </c>
      <c r="M115">
        <v>38940</v>
      </c>
      <c r="N115">
        <v>0.45833333333333298</v>
      </c>
      <c r="O115">
        <v>3</v>
      </c>
    </row>
    <row r="116" spans="1:15" x14ac:dyDescent="0.3">
      <c r="A116">
        <v>115</v>
      </c>
      <c r="B116" t="s">
        <v>135</v>
      </c>
      <c r="C116" s="1">
        <v>45721</v>
      </c>
      <c r="D116" t="s">
        <v>15</v>
      </c>
      <c r="E116" t="s">
        <v>16</v>
      </c>
      <c r="F116">
        <v>143040</v>
      </c>
      <c r="G116">
        <v>137080</v>
      </c>
      <c r="H116">
        <v>83440</v>
      </c>
      <c r="I116">
        <v>81056</v>
      </c>
      <c r="J116" t="s">
        <v>17</v>
      </c>
      <c r="K116">
        <v>-5960</v>
      </c>
      <c r="L116">
        <v>-2384</v>
      </c>
      <c r="M116">
        <v>56024</v>
      </c>
      <c r="N116">
        <v>0.40869565217391302</v>
      </c>
      <c r="O116">
        <v>3</v>
      </c>
    </row>
    <row r="117" spans="1:15" x14ac:dyDescent="0.3">
      <c r="A117">
        <v>116</v>
      </c>
      <c r="B117" t="s">
        <v>136</v>
      </c>
      <c r="C117" s="1">
        <v>45721</v>
      </c>
      <c r="D117" t="s">
        <v>19</v>
      </c>
      <c r="E117" t="s">
        <v>20</v>
      </c>
      <c r="F117">
        <v>95360</v>
      </c>
      <c r="G117">
        <v>101320</v>
      </c>
      <c r="H117">
        <v>53640</v>
      </c>
      <c r="I117">
        <v>61984</v>
      </c>
      <c r="J117" t="s">
        <v>17</v>
      </c>
      <c r="K117">
        <v>5960</v>
      </c>
      <c r="L117">
        <v>8344</v>
      </c>
      <c r="M117">
        <v>39336</v>
      </c>
      <c r="N117">
        <v>0.38823529411764701</v>
      </c>
      <c r="O117">
        <v>3</v>
      </c>
    </row>
    <row r="118" spans="1:15" x14ac:dyDescent="0.3">
      <c r="A118">
        <v>117</v>
      </c>
      <c r="B118" t="s">
        <v>137</v>
      </c>
      <c r="C118" s="1">
        <v>45721</v>
      </c>
      <c r="D118" t="s">
        <v>22</v>
      </c>
      <c r="E118" t="s">
        <v>23</v>
      </c>
      <c r="F118">
        <v>113240</v>
      </c>
      <c r="G118">
        <v>107280</v>
      </c>
      <c r="H118">
        <v>71520</v>
      </c>
      <c r="I118">
        <v>73904</v>
      </c>
      <c r="J118" t="s">
        <v>17</v>
      </c>
      <c r="K118">
        <v>-5960</v>
      </c>
      <c r="L118">
        <v>2384</v>
      </c>
      <c r="M118">
        <v>33376</v>
      </c>
      <c r="N118">
        <v>0.31111111111111101</v>
      </c>
      <c r="O118">
        <v>3</v>
      </c>
    </row>
    <row r="119" spans="1:15" x14ac:dyDescent="0.3">
      <c r="A119">
        <v>118</v>
      </c>
      <c r="B119" t="s">
        <v>138</v>
      </c>
      <c r="C119" s="1">
        <v>45721</v>
      </c>
      <c r="D119" t="s">
        <v>25</v>
      </c>
      <c r="E119" t="s">
        <v>26</v>
      </c>
      <c r="F119">
        <v>83440</v>
      </c>
      <c r="G119">
        <v>85824</v>
      </c>
      <c r="H119">
        <v>47680</v>
      </c>
      <c r="I119">
        <v>46488</v>
      </c>
      <c r="J119" t="s">
        <v>17</v>
      </c>
      <c r="K119">
        <v>2384</v>
      </c>
      <c r="L119">
        <v>-1192</v>
      </c>
      <c r="M119">
        <v>39336</v>
      </c>
      <c r="N119">
        <v>0.45833333333333298</v>
      </c>
      <c r="O119">
        <v>3</v>
      </c>
    </row>
    <row r="120" spans="1:15" x14ac:dyDescent="0.3">
      <c r="A120">
        <v>119</v>
      </c>
      <c r="B120" t="s">
        <v>139</v>
      </c>
      <c r="C120" s="1">
        <v>45722</v>
      </c>
      <c r="D120" t="s">
        <v>15</v>
      </c>
      <c r="E120" t="s">
        <v>16</v>
      </c>
      <c r="F120">
        <v>144480</v>
      </c>
      <c r="G120">
        <v>138460</v>
      </c>
      <c r="H120">
        <v>84280</v>
      </c>
      <c r="I120">
        <v>81872</v>
      </c>
      <c r="J120" t="s">
        <v>17</v>
      </c>
      <c r="K120">
        <v>-6020</v>
      </c>
      <c r="L120">
        <v>-2408</v>
      </c>
      <c r="M120">
        <v>56588</v>
      </c>
      <c r="N120">
        <v>0.40869565217391302</v>
      </c>
      <c r="O120">
        <v>3</v>
      </c>
    </row>
    <row r="121" spans="1:15" x14ac:dyDescent="0.3">
      <c r="A121">
        <v>120</v>
      </c>
      <c r="B121" t="s">
        <v>140</v>
      </c>
      <c r="C121" s="1">
        <v>45722</v>
      </c>
      <c r="D121" t="s">
        <v>19</v>
      </c>
      <c r="E121" t="s">
        <v>20</v>
      </c>
      <c r="F121">
        <v>96320</v>
      </c>
      <c r="G121">
        <v>102340</v>
      </c>
      <c r="H121">
        <v>54180</v>
      </c>
      <c r="I121">
        <v>62608</v>
      </c>
      <c r="J121" t="s">
        <v>17</v>
      </c>
      <c r="K121">
        <v>6020</v>
      </c>
      <c r="L121">
        <v>8428</v>
      </c>
      <c r="M121">
        <v>39732</v>
      </c>
      <c r="N121">
        <v>0.38823529411764701</v>
      </c>
      <c r="O121">
        <v>3</v>
      </c>
    </row>
    <row r="122" spans="1:15" x14ac:dyDescent="0.3">
      <c r="A122">
        <v>121</v>
      </c>
      <c r="B122" t="s">
        <v>141</v>
      </c>
      <c r="C122" s="1">
        <v>45722</v>
      </c>
      <c r="D122" t="s">
        <v>22</v>
      </c>
      <c r="E122" t="s">
        <v>23</v>
      </c>
      <c r="F122">
        <v>114380</v>
      </c>
      <c r="G122">
        <v>108360</v>
      </c>
      <c r="H122">
        <v>72240</v>
      </c>
      <c r="I122">
        <v>74648</v>
      </c>
      <c r="J122" t="s">
        <v>17</v>
      </c>
      <c r="K122">
        <v>-6020</v>
      </c>
      <c r="L122">
        <v>2408</v>
      </c>
      <c r="M122">
        <v>33712</v>
      </c>
      <c r="N122">
        <v>0.31111111111111101</v>
      </c>
      <c r="O122">
        <v>3</v>
      </c>
    </row>
    <row r="123" spans="1:15" x14ac:dyDescent="0.3">
      <c r="A123">
        <v>122</v>
      </c>
      <c r="B123" t="s">
        <v>142</v>
      </c>
      <c r="C123" s="1">
        <v>45722</v>
      </c>
      <c r="D123" t="s">
        <v>25</v>
      </c>
      <c r="E123" t="s">
        <v>26</v>
      </c>
      <c r="F123">
        <v>84280</v>
      </c>
      <c r="G123">
        <v>86688</v>
      </c>
      <c r="H123">
        <v>48160</v>
      </c>
      <c r="I123">
        <v>46956</v>
      </c>
      <c r="J123" t="s">
        <v>17</v>
      </c>
      <c r="K123">
        <v>2408</v>
      </c>
      <c r="L123">
        <v>-1204</v>
      </c>
      <c r="M123">
        <v>39732</v>
      </c>
      <c r="N123">
        <v>0.45833333333333298</v>
      </c>
      <c r="O123">
        <v>3</v>
      </c>
    </row>
    <row r="124" spans="1:15" x14ac:dyDescent="0.3">
      <c r="A124">
        <v>123</v>
      </c>
      <c r="B124" t="s">
        <v>143</v>
      </c>
      <c r="C124" s="1">
        <v>45723</v>
      </c>
      <c r="D124" t="s">
        <v>15</v>
      </c>
      <c r="E124" t="s">
        <v>16</v>
      </c>
      <c r="F124">
        <v>145920</v>
      </c>
      <c r="G124">
        <v>139840</v>
      </c>
      <c r="H124">
        <v>85120</v>
      </c>
      <c r="I124">
        <v>82688</v>
      </c>
      <c r="J124" t="s">
        <v>17</v>
      </c>
      <c r="K124">
        <v>-6080</v>
      </c>
      <c r="L124">
        <v>-2432</v>
      </c>
      <c r="M124">
        <v>57152</v>
      </c>
      <c r="N124">
        <v>0.40869565217391302</v>
      </c>
      <c r="O124">
        <v>3</v>
      </c>
    </row>
    <row r="125" spans="1:15" x14ac:dyDescent="0.3">
      <c r="A125">
        <v>124</v>
      </c>
      <c r="B125" t="s">
        <v>144</v>
      </c>
      <c r="C125" s="1">
        <v>45723</v>
      </c>
      <c r="D125" t="s">
        <v>19</v>
      </c>
      <c r="E125" t="s">
        <v>20</v>
      </c>
      <c r="F125">
        <v>97280</v>
      </c>
      <c r="G125">
        <v>103360</v>
      </c>
      <c r="H125">
        <v>54720</v>
      </c>
      <c r="I125">
        <v>63232</v>
      </c>
      <c r="J125" t="s">
        <v>17</v>
      </c>
      <c r="K125">
        <v>6080</v>
      </c>
      <c r="L125">
        <v>8512</v>
      </c>
      <c r="M125">
        <v>40128</v>
      </c>
      <c r="N125">
        <v>0.38823529411764701</v>
      </c>
      <c r="O125">
        <v>3</v>
      </c>
    </row>
    <row r="126" spans="1:15" x14ac:dyDescent="0.3">
      <c r="A126">
        <v>125</v>
      </c>
      <c r="B126" t="s">
        <v>145</v>
      </c>
      <c r="C126" s="1">
        <v>45723</v>
      </c>
      <c r="D126" t="s">
        <v>22</v>
      </c>
      <c r="E126" t="s">
        <v>23</v>
      </c>
      <c r="F126">
        <v>115520</v>
      </c>
      <c r="G126">
        <v>109440</v>
      </c>
      <c r="H126">
        <v>72960</v>
      </c>
      <c r="I126">
        <v>75392</v>
      </c>
      <c r="J126" t="s">
        <v>17</v>
      </c>
      <c r="K126">
        <v>-6080</v>
      </c>
      <c r="L126">
        <v>2432</v>
      </c>
      <c r="M126">
        <v>34048</v>
      </c>
      <c r="N126">
        <v>0.31111111111111101</v>
      </c>
      <c r="O126">
        <v>3</v>
      </c>
    </row>
    <row r="127" spans="1:15" x14ac:dyDescent="0.3">
      <c r="A127">
        <v>126</v>
      </c>
      <c r="B127" t="s">
        <v>146</v>
      </c>
      <c r="C127" s="1">
        <v>45723</v>
      </c>
      <c r="D127" t="s">
        <v>25</v>
      </c>
      <c r="E127" t="s">
        <v>26</v>
      </c>
      <c r="F127">
        <v>85120</v>
      </c>
      <c r="G127">
        <v>87552</v>
      </c>
      <c r="H127">
        <v>48640</v>
      </c>
      <c r="I127">
        <v>47424</v>
      </c>
      <c r="J127" t="s">
        <v>17</v>
      </c>
      <c r="K127">
        <v>2432</v>
      </c>
      <c r="L127">
        <v>-1216</v>
      </c>
      <c r="M127">
        <v>40128</v>
      </c>
      <c r="N127">
        <v>0.45833333333333298</v>
      </c>
      <c r="O127">
        <v>3</v>
      </c>
    </row>
    <row r="128" spans="1:15" x14ac:dyDescent="0.3">
      <c r="A128">
        <v>127</v>
      </c>
      <c r="B128" t="s">
        <v>147</v>
      </c>
      <c r="C128" s="1">
        <v>45724</v>
      </c>
      <c r="D128" t="s">
        <v>15</v>
      </c>
      <c r="E128" t="s">
        <v>16</v>
      </c>
      <c r="F128">
        <v>147360</v>
      </c>
      <c r="G128">
        <v>141220</v>
      </c>
      <c r="H128">
        <v>85960</v>
      </c>
      <c r="I128">
        <v>83504</v>
      </c>
      <c r="J128" t="s">
        <v>17</v>
      </c>
      <c r="K128">
        <v>-6140</v>
      </c>
      <c r="L128">
        <v>-2456</v>
      </c>
      <c r="M128">
        <v>57716</v>
      </c>
      <c r="N128">
        <v>0.40869565217391302</v>
      </c>
      <c r="O128">
        <v>3</v>
      </c>
    </row>
    <row r="129" spans="1:15" x14ac:dyDescent="0.3">
      <c r="A129">
        <v>128</v>
      </c>
      <c r="B129" t="s">
        <v>148</v>
      </c>
      <c r="C129" s="1">
        <v>45724</v>
      </c>
      <c r="D129" t="s">
        <v>19</v>
      </c>
      <c r="E129" t="s">
        <v>20</v>
      </c>
      <c r="F129">
        <v>98240</v>
      </c>
      <c r="G129">
        <v>104380</v>
      </c>
      <c r="H129">
        <v>55260</v>
      </c>
      <c r="I129">
        <v>63856</v>
      </c>
      <c r="J129" t="s">
        <v>17</v>
      </c>
      <c r="K129">
        <v>6140</v>
      </c>
      <c r="L129">
        <v>8596</v>
      </c>
      <c r="M129">
        <v>40524</v>
      </c>
      <c r="N129">
        <v>0.38823529411764701</v>
      </c>
      <c r="O129">
        <v>3</v>
      </c>
    </row>
    <row r="130" spans="1:15" x14ac:dyDescent="0.3">
      <c r="A130">
        <v>129</v>
      </c>
      <c r="B130" t="s">
        <v>149</v>
      </c>
      <c r="C130" s="1">
        <v>45724</v>
      </c>
      <c r="D130" t="s">
        <v>22</v>
      </c>
      <c r="E130" t="s">
        <v>23</v>
      </c>
      <c r="F130">
        <v>116660</v>
      </c>
      <c r="G130">
        <v>110520</v>
      </c>
      <c r="H130">
        <v>73680</v>
      </c>
      <c r="I130">
        <v>76136</v>
      </c>
      <c r="J130" t="s">
        <v>17</v>
      </c>
      <c r="K130">
        <v>-6140</v>
      </c>
      <c r="L130">
        <v>2456</v>
      </c>
      <c r="M130">
        <v>34384</v>
      </c>
      <c r="N130">
        <v>0.31111111111111101</v>
      </c>
      <c r="O130">
        <v>3</v>
      </c>
    </row>
    <row r="131" spans="1:15" x14ac:dyDescent="0.3">
      <c r="A131">
        <v>130</v>
      </c>
      <c r="B131" t="s">
        <v>150</v>
      </c>
      <c r="C131" s="1">
        <v>45724</v>
      </c>
      <c r="D131" t="s">
        <v>25</v>
      </c>
      <c r="E131" t="s">
        <v>26</v>
      </c>
      <c r="F131">
        <v>85960</v>
      </c>
      <c r="G131">
        <v>88416</v>
      </c>
      <c r="H131">
        <v>49120</v>
      </c>
      <c r="I131">
        <v>47892</v>
      </c>
      <c r="J131" t="s">
        <v>17</v>
      </c>
      <c r="K131">
        <v>2456</v>
      </c>
      <c r="L131">
        <v>-1228</v>
      </c>
      <c r="M131">
        <v>40524</v>
      </c>
      <c r="N131">
        <v>0.45833333333333298</v>
      </c>
      <c r="O131">
        <v>3</v>
      </c>
    </row>
    <row r="132" spans="1:15" x14ac:dyDescent="0.3">
      <c r="A132">
        <v>131</v>
      </c>
      <c r="B132" t="s">
        <v>151</v>
      </c>
      <c r="C132" s="1">
        <v>45725</v>
      </c>
      <c r="D132" t="s">
        <v>15</v>
      </c>
      <c r="E132" t="s">
        <v>16</v>
      </c>
      <c r="F132">
        <v>148800</v>
      </c>
      <c r="G132">
        <v>142600</v>
      </c>
      <c r="H132">
        <v>86800</v>
      </c>
      <c r="I132">
        <v>84320</v>
      </c>
      <c r="J132" t="s">
        <v>17</v>
      </c>
      <c r="K132">
        <v>-6200</v>
      </c>
      <c r="L132">
        <v>-2480</v>
      </c>
      <c r="M132">
        <v>58280</v>
      </c>
      <c r="N132">
        <v>0.40869565217391302</v>
      </c>
      <c r="O132">
        <v>3</v>
      </c>
    </row>
    <row r="133" spans="1:15" x14ac:dyDescent="0.3">
      <c r="A133">
        <v>132</v>
      </c>
      <c r="B133" t="s">
        <v>152</v>
      </c>
      <c r="C133" s="1">
        <v>45725</v>
      </c>
      <c r="D133" t="s">
        <v>19</v>
      </c>
      <c r="E133" t="s">
        <v>20</v>
      </c>
      <c r="F133">
        <v>99200</v>
      </c>
      <c r="G133">
        <v>105400</v>
      </c>
      <c r="H133">
        <v>55800</v>
      </c>
      <c r="I133">
        <v>64480</v>
      </c>
      <c r="J133" t="s">
        <v>17</v>
      </c>
      <c r="K133">
        <v>6200</v>
      </c>
      <c r="L133">
        <v>8680</v>
      </c>
      <c r="M133">
        <v>40920</v>
      </c>
      <c r="N133">
        <v>0.38823529411764701</v>
      </c>
      <c r="O133">
        <v>3</v>
      </c>
    </row>
    <row r="134" spans="1:15" x14ac:dyDescent="0.3">
      <c r="A134">
        <v>133</v>
      </c>
      <c r="B134" t="s">
        <v>153</v>
      </c>
      <c r="C134" s="1">
        <v>45725</v>
      </c>
      <c r="D134" t="s">
        <v>22</v>
      </c>
      <c r="E134" t="s">
        <v>23</v>
      </c>
      <c r="F134">
        <v>117800</v>
      </c>
      <c r="G134">
        <v>111600</v>
      </c>
      <c r="H134">
        <v>74400</v>
      </c>
      <c r="I134">
        <v>76880</v>
      </c>
      <c r="J134" t="s">
        <v>17</v>
      </c>
      <c r="K134">
        <v>-6200</v>
      </c>
      <c r="L134">
        <v>2480</v>
      </c>
      <c r="M134">
        <v>34720</v>
      </c>
      <c r="N134">
        <v>0.31111111111111101</v>
      </c>
      <c r="O134">
        <v>3</v>
      </c>
    </row>
    <row r="135" spans="1:15" x14ac:dyDescent="0.3">
      <c r="A135">
        <v>134</v>
      </c>
      <c r="B135" t="s">
        <v>154</v>
      </c>
      <c r="C135" s="1">
        <v>45725</v>
      </c>
      <c r="D135" t="s">
        <v>25</v>
      </c>
      <c r="E135" t="s">
        <v>26</v>
      </c>
      <c r="F135">
        <v>86800</v>
      </c>
      <c r="G135">
        <v>89280</v>
      </c>
      <c r="H135">
        <v>49600</v>
      </c>
      <c r="I135">
        <v>48360</v>
      </c>
      <c r="J135" t="s">
        <v>17</v>
      </c>
      <c r="K135">
        <v>2480</v>
      </c>
      <c r="L135">
        <v>-1240</v>
      </c>
      <c r="M135">
        <v>40920</v>
      </c>
      <c r="N135">
        <v>0.45833333333333298</v>
      </c>
      <c r="O135">
        <v>3</v>
      </c>
    </row>
    <row r="136" spans="1:15" x14ac:dyDescent="0.3">
      <c r="A136">
        <v>135</v>
      </c>
      <c r="B136" t="s">
        <v>155</v>
      </c>
      <c r="C136" s="1">
        <v>45726</v>
      </c>
      <c r="D136" t="s">
        <v>15</v>
      </c>
      <c r="E136" t="s">
        <v>16</v>
      </c>
      <c r="F136">
        <v>142000</v>
      </c>
      <c r="G136">
        <v>143980</v>
      </c>
      <c r="H136">
        <v>87640</v>
      </c>
      <c r="I136">
        <v>85136</v>
      </c>
      <c r="J136" t="s">
        <v>17</v>
      </c>
      <c r="K136">
        <v>1980</v>
      </c>
      <c r="L136">
        <v>-2504</v>
      </c>
      <c r="M136">
        <v>58844</v>
      </c>
      <c r="N136">
        <v>0.40869565217391302</v>
      </c>
      <c r="O136">
        <v>3</v>
      </c>
    </row>
    <row r="137" spans="1:15" x14ac:dyDescent="0.3">
      <c r="A137">
        <v>136</v>
      </c>
      <c r="B137" t="s">
        <v>156</v>
      </c>
      <c r="C137" s="1">
        <v>45726</v>
      </c>
      <c r="D137" t="s">
        <v>19</v>
      </c>
      <c r="E137" t="s">
        <v>20</v>
      </c>
      <c r="F137">
        <v>100160</v>
      </c>
      <c r="G137">
        <v>106420</v>
      </c>
      <c r="H137">
        <v>56340</v>
      </c>
      <c r="I137">
        <v>65104</v>
      </c>
      <c r="J137" t="s">
        <v>17</v>
      </c>
      <c r="K137">
        <v>6260</v>
      </c>
      <c r="L137">
        <v>8764</v>
      </c>
      <c r="M137">
        <v>41316</v>
      </c>
      <c r="N137">
        <v>0.38823529411764701</v>
      </c>
      <c r="O137">
        <v>3</v>
      </c>
    </row>
    <row r="138" spans="1:15" x14ac:dyDescent="0.3">
      <c r="A138">
        <v>137</v>
      </c>
      <c r="B138" t="s">
        <v>157</v>
      </c>
      <c r="C138" s="1">
        <v>45726</v>
      </c>
      <c r="D138" t="s">
        <v>22</v>
      </c>
      <c r="E138" t="s">
        <v>23</v>
      </c>
      <c r="F138">
        <v>118940</v>
      </c>
      <c r="G138">
        <v>112680</v>
      </c>
      <c r="H138">
        <v>75120</v>
      </c>
      <c r="I138">
        <v>77624</v>
      </c>
      <c r="J138" t="s">
        <v>17</v>
      </c>
      <c r="K138">
        <v>-6260</v>
      </c>
      <c r="L138">
        <v>2504</v>
      </c>
      <c r="M138">
        <v>35056</v>
      </c>
      <c r="N138">
        <v>0.31111111111111101</v>
      </c>
      <c r="O138">
        <v>3</v>
      </c>
    </row>
    <row r="139" spans="1:15" x14ac:dyDescent="0.3">
      <c r="A139">
        <v>138</v>
      </c>
      <c r="B139" t="s">
        <v>158</v>
      </c>
      <c r="C139" s="1">
        <v>45726</v>
      </c>
      <c r="D139" t="s">
        <v>25</v>
      </c>
      <c r="E139" t="s">
        <v>26</v>
      </c>
      <c r="F139">
        <v>87640</v>
      </c>
      <c r="G139">
        <v>90144</v>
      </c>
      <c r="H139">
        <v>50080</v>
      </c>
      <c r="I139">
        <v>48828</v>
      </c>
      <c r="J139" t="s">
        <v>17</v>
      </c>
      <c r="K139">
        <v>2504</v>
      </c>
      <c r="L139">
        <v>-1252</v>
      </c>
      <c r="M139">
        <v>41316</v>
      </c>
      <c r="N139">
        <v>0.45833333333333298</v>
      </c>
      <c r="O139">
        <v>3</v>
      </c>
    </row>
    <row r="140" spans="1:15" x14ac:dyDescent="0.3">
      <c r="A140">
        <v>139</v>
      </c>
      <c r="B140" t="s">
        <v>159</v>
      </c>
      <c r="C140" s="1">
        <v>45727</v>
      </c>
      <c r="D140" t="s">
        <v>15</v>
      </c>
      <c r="E140" t="s">
        <v>16</v>
      </c>
      <c r="F140">
        <v>151680</v>
      </c>
      <c r="G140">
        <v>145360</v>
      </c>
      <c r="H140">
        <v>88480</v>
      </c>
      <c r="I140">
        <v>85952</v>
      </c>
      <c r="J140" t="s">
        <v>17</v>
      </c>
      <c r="K140">
        <v>-6320</v>
      </c>
      <c r="L140">
        <v>-2528</v>
      </c>
      <c r="M140">
        <v>59408</v>
      </c>
      <c r="N140">
        <v>0.40869565217391302</v>
      </c>
      <c r="O140">
        <v>3</v>
      </c>
    </row>
    <row r="141" spans="1:15" x14ac:dyDescent="0.3">
      <c r="A141">
        <v>140</v>
      </c>
      <c r="B141" t="s">
        <v>160</v>
      </c>
      <c r="C141" s="1">
        <v>45727</v>
      </c>
      <c r="D141" t="s">
        <v>19</v>
      </c>
      <c r="E141" t="s">
        <v>20</v>
      </c>
      <c r="F141">
        <v>101120</v>
      </c>
      <c r="G141">
        <v>107440</v>
      </c>
      <c r="H141">
        <v>56880</v>
      </c>
      <c r="I141">
        <v>65728</v>
      </c>
      <c r="J141" t="s">
        <v>17</v>
      </c>
      <c r="K141">
        <v>6320</v>
      </c>
      <c r="L141">
        <v>8848</v>
      </c>
      <c r="M141">
        <v>41712</v>
      </c>
      <c r="N141">
        <v>0.38823529411764701</v>
      </c>
      <c r="O141">
        <v>3</v>
      </c>
    </row>
    <row r="142" spans="1:15" x14ac:dyDescent="0.3">
      <c r="A142">
        <v>141</v>
      </c>
      <c r="B142" t="s">
        <v>161</v>
      </c>
      <c r="C142" s="1">
        <v>45727</v>
      </c>
      <c r="D142" t="s">
        <v>22</v>
      </c>
      <c r="E142" t="s">
        <v>23</v>
      </c>
      <c r="F142">
        <v>120080</v>
      </c>
      <c r="G142">
        <v>113760</v>
      </c>
      <c r="H142">
        <v>75840</v>
      </c>
      <c r="I142">
        <v>78368</v>
      </c>
      <c r="J142" t="s">
        <v>17</v>
      </c>
      <c r="K142">
        <v>-6320</v>
      </c>
      <c r="L142">
        <v>2528</v>
      </c>
      <c r="M142">
        <v>35392</v>
      </c>
      <c r="N142">
        <v>0.31111111111111101</v>
      </c>
      <c r="O142">
        <v>3</v>
      </c>
    </row>
    <row r="143" spans="1:15" x14ac:dyDescent="0.3">
      <c r="A143">
        <v>142</v>
      </c>
      <c r="B143" t="s">
        <v>162</v>
      </c>
      <c r="C143" s="1">
        <v>45727</v>
      </c>
      <c r="D143" t="s">
        <v>25</v>
      </c>
      <c r="E143" t="s">
        <v>26</v>
      </c>
      <c r="F143">
        <v>88480</v>
      </c>
      <c r="G143">
        <v>91008</v>
      </c>
      <c r="H143">
        <v>50560</v>
      </c>
      <c r="I143">
        <v>49296</v>
      </c>
      <c r="J143" t="s">
        <v>17</v>
      </c>
      <c r="K143">
        <v>2528</v>
      </c>
      <c r="L143">
        <v>-1264</v>
      </c>
      <c r="M143">
        <v>41712</v>
      </c>
      <c r="N143">
        <v>0.45833333333333298</v>
      </c>
      <c r="O143">
        <v>3</v>
      </c>
    </row>
    <row r="144" spans="1:15" x14ac:dyDescent="0.3">
      <c r="A144">
        <v>143</v>
      </c>
      <c r="B144" t="s">
        <v>163</v>
      </c>
      <c r="C144" s="1">
        <v>45728</v>
      </c>
      <c r="D144" t="s">
        <v>15</v>
      </c>
      <c r="E144" t="s">
        <v>16</v>
      </c>
      <c r="F144">
        <v>153120</v>
      </c>
      <c r="G144">
        <v>146740</v>
      </c>
      <c r="H144">
        <v>89320</v>
      </c>
      <c r="I144">
        <v>86768</v>
      </c>
      <c r="J144" t="s">
        <v>17</v>
      </c>
      <c r="K144">
        <v>-6380</v>
      </c>
      <c r="L144">
        <v>-2552</v>
      </c>
      <c r="M144">
        <v>59972</v>
      </c>
      <c r="N144">
        <v>0.40869565217391302</v>
      </c>
      <c r="O144">
        <v>3</v>
      </c>
    </row>
    <row r="145" spans="1:15" x14ac:dyDescent="0.3">
      <c r="A145">
        <v>144</v>
      </c>
      <c r="B145" t="s">
        <v>164</v>
      </c>
      <c r="C145" s="1">
        <v>45728</v>
      </c>
      <c r="D145" t="s">
        <v>19</v>
      </c>
      <c r="E145" t="s">
        <v>20</v>
      </c>
      <c r="F145">
        <v>102080</v>
      </c>
      <c r="G145">
        <v>108460</v>
      </c>
      <c r="H145">
        <v>57420</v>
      </c>
      <c r="I145">
        <v>66352</v>
      </c>
      <c r="J145" t="s">
        <v>17</v>
      </c>
      <c r="K145">
        <v>6380</v>
      </c>
      <c r="L145">
        <v>8932</v>
      </c>
      <c r="M145">
        <v>42108</v>
      </c>
      <c r="N145">
        <v>0.38823529411764701</v>
      </c>
      <c r="O145">
        <v>3</v>
      </c>
    </row>
    <row r="146" spans="1:15" x14ac:dyDescent="0.3">
      <c r="A146">
        <v>145</v>
      </c>
      <c r="B146" t="s">
        <v>165</v>
      </c>
      <c r="C146" s="1">
        <v>45728</v>
      </c>
      <c r="D146" t="s">
        <v>22</v>
      </c>
      <c r="E146" t="s">
        <v>23</v>
      </c>
      <c r="F146">
        <v>121220</v>
      </c>
      <c r="G146">
        <v>114840</v>
      </c>
      <c r="H146">
        <v>76560</v>
      </c>
      <c r="I146">
        <v>79112</v>
      </c>
      <c r="J146" t="s">
        <v>17</v>
      </c>
      <c r="K146">
        <v>-6380</v>
      </c>
      <c r="L146">
        <v>2552</v>
      </c>
      <c r="M146">
        <v>35728</v>
      </c>
      <c r="N146">
        <v>0.31111111111111101</v>
      </c>
      <c r="O146">
        <v>3</v>
      </c>
    </row>
    <row r="147" spans="1:15" x14ac:dyDescent="0.3">
      <c r="A147">
        <v>146</v>
      </c>
      <c r="B147" t="s">
        <v>166</v>
      </c>
      <c r="C147" s="1">
        <v>45728</v>
      </c>
      <c r="D147" t="s">
        <v>25</v>
      </c>
      <c r="E147" t="s">
        <v>26</v>
      </c>
      <c r="F147">
        <v>89320</v>
      </c>
      <c r="G147">
        <v>91872</v>
      </c>
      <c r="H147">
        <v>51040</v>
      </c>
      <c r="I147">
        <v>61000</v>
      </c>
      <c r="J147" t="s">
        <v>17</v>
      </c>
      <c r="K147">
        <v>2552</v>
      </c>
      <c r="L147">
        <v>9960</v>
      </c>
      <c r="M147">
        <v>30872</v>
      </c>
      <c r="N147">
        <v>0.33603274120515503</v>
      </c>
      <c r="O147">
        <v>3</v>
      </c>
    </row>
    <row r="148" spans="1:15" x14ac:dyDescent="0.3">
      <c r="A148">
        <v>147</v>
      </c>
      <c r="B148" t="s">
        <v>74</v>
      </c>
      <c r="C148" s="1">
        <v>45352</v>
      </c>
      <c r="D148" t="s">
        <v>25</v>
      </c>
      <c r="E148" t="s">
        <v>26</v>
      </c>
      <c r="F148">
        <v>70000</v>
      </c>
      <c r="G148">
        <v>72000</v>
      </c>
      <c r="H148">
        <v>40000</v>
      </c>
      <c r="I148">
        <v>39000</v>
      </c>
      <c r="J148" t="s">
        <v>17</v>
      </c>
      <c r="K148">
        <v>2000</v>
      </c>
      <c r="L148">
        <v>-1000</v>
      </c>
      <c r="M148">
        <v>33000</v>
      </c>
      <c r="N148">
        <v>0.45833333333333298</v>
      </c>
      <c r="O148">
        <v>3</v>
      </c>
    </row>
    <row r="149" spans="1:15" x14ac:dyDescent="0.3">
      <c r="A149">
        <v>148</v>
      </c>
      <c r="B149" t="s">
        <v>98</v>
      </c>
      <c r="C149" s="1">
        <v>45358</v>
      </c>
      <c r="D149" t="s">
        <v>25</v>
      </c>
      <c r="E149" t="s">
        <v>26</v>
      </c>
      <c r="F149">
        <v>75040</v>
      </c>
      <c r="G149">
        <v>77184</v>
      </c>
      <c r="H149">
        <v>42880</v>
      </c>
      <c r="I149">
        <v>41808</v>
      </c>
      <c r="J149" t="s">
        <v>17</v>
      </c>
      <c r="K149">
        <v>2144</v>
      </c>
      <c r="L149">
        <v>-1072</v>
      </c>
      <c r="M149">
        <v>35376</v>
      </c>
      <c r="N149">
        <v>0.45833333333333298</v>
      </c>
      <c r="O149">
        <v>3</v>
      </c>
    </row>
    <row r="150" spans="1:15" x14ac:dyDescent="0.3">
      <c r="C15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CAF-8DED-42C5-9F1F-74E156309708}">
  <sheetPr>
    <tabColor rgb="FF00B050"/>
  </sheetPr>
  <dimension ref="A2:N29"/>
  <sheetViews>
    <sheetView tabSelected="1" topLeftCell="A2" workbookViewId="0">
      <selection activeCell="G26" sqref="G26"/>
    </sheetView>
  </sheetViews>
  <sheetFormatPr defaultRowHeight="14.4" x14ac:dyDescent="0.3"/>
  <cols>
    <col min="1" max="1" width="12.5546875" bestFit="1" customWidth="1"/>
    <col min="2" max="2" width="23.44140625" bestFit="1" customWidth="1"/>
    <col min="3" max="3" width="22.109375" bestFit="1" customWidth="1"/>
    <col min="4" max="5" width="6" bestFit="1" customWidth="1"/>
    <col min="6" max="6" width="22.77734375" bestFit="1" customWidth="1"/>
    <col min="7" max="7" width="23" bestFit="1" customWidth="1"/>
    <col min="8" max="8" width="9" bestFit="1" customWidth="1"/>
    <col min="9" max="9" width="7.6640625" bestFit="1" customWidth="1"/>
    <col min="10" max="10" width="7" bestFit="1" customWidth="1"/>
    <col min="11" max="13" width="6" bestFit="1" customWidth="1"/>
    <col min="14" max="14" width="7" bestFit="1" customWidth="1"/>
    <col min="15" max="16" width="6" bestFit="1" customWidth="1"/>
    <col min="17" max="17" width="7" bestFit="1" customWidth="1"/>
    <col min="18" max="22" width="6" bestFit="1" customWidth="1"/>
    <col min="23" max="23" width="7" bestFit="1" customWidth="1"/>
    <col min="24" max="29" width="6" bestFit="1" customWidth="1"/>
    <col min="30" max="30" width="7" bestFit="1" customWidth="1"/>
    <col min="31" max="37" width="6" bestFit="1" customWidth="1"/>
    <col min="38" max="38" width="7" bestFit="1" customWidth="1"/>
    <col min="39" max="42" width="6" bestFit="1" customWidth="1"/>
    <col min="43" max="43" width="7" bestFit="1" customWidth="1"/>
    <col min="44" max="45" width="6" bestFit="1" customWidth="1"/>
    <col min="46" max="46" width="7" bestFit="1" customWidth="1"/>
    <col min="47" max="48" width="6" bestFit="1" customWidth="1"/>
    <col min="49" max="51" width="7" bestFit="1" customWidth="1"/>
    <col min="52" max="52" width="6" bestFit="1" customWidth="1"/>
    <col min="53" max="56" width="7" bestFit="1" customWidth="1"/>
    <col min="57" max="57" width="6" bestFit="1" customWidth="1"/>
    <col min="58" max="58" width="7" bestFit="1" customWidth="1"/>
    <col min="59" max="59" width="6" bestFit="1" customWidth="1"/>
    <col min="60" max="122" width="7" bestFit="1" customWidth="1"/>
    <col min="123" max="123" width="10.77734375" bestFit="1" customWidth="1"/>
  </cols>
  <sheetData>
    <row r="2" spans="1:14" x14ac:dyDescent="0.3">
      <c r="A2" s="8" t="s">
        <v>175</v>
      </c>
      <c r="B2" s="8"/>
      <c r="C2" s="8"/>
      <c r="F2" s="7" t="s">
        <v>173</v>
      </c>
      <c r="G2" s="7"/>
      <c r="H2" s="7"/>
      <c r="I2" s="7"/>
      <c r="J2" s="7"/>
      <c r="K2" s="7"/>
      <c r="L2" s="7"/>
      <c r="M2" s="7"/>
    </row>
    <row r="3" spans="1:14" x14ac:dyDescent="0.3">
      <c r="A3" s="2" t="s">
        <v>167</v>
      </c>
      <c r="B3" t="s">
        <v>169</v>
      </c>
      <c r="F3" s="2" t="s">
        <v>167</v>
      </c>
      <c r="G3" t="s">
        <v>170</v>
      </c>
    </row>
    <row r="4" spans="1:14" x14ac:dyDescent="0.3">
      <c r="A4" s="3" t="s">
        <v>25</v>
      </c>
      <c r="B4" s="4">
        <v>82404</v>
      </c>
      <c r="F4" s="3" t="s">
        <v>25</v>
      </c>
      <c r="G4" s="4">
        <v>16964</v>
      </c>
    </row>
    <row r="5" spans="1:14" x14ac:dyDescent="0.3">
      <c r="A5" s="3" t="s">
        <v>19</v>
      </c>
      <c r="B5" s="4">
        <v>142560</v>
      </c>
      <c r="F5" s="3" t="s">
        <v>19</v>
      </c>
      <c r="G5" s="4">
        <v>232544</v>
      </c>
    </row>
    <row r="6" spans="1:14" x14ac:dyDescent="0.3">
      <c r="A6" s="3" t="s">
        <v>22</v>
      </c>
      <c r="B6" s="4">
        <v>-152280</v>
      </c>
      <c r="C6" s="6"/>
      <c r="F6" s="3" t="s">
        <v>22</v>
      </c>
      <c r="G6" s="4">
        <v>120504</v>
      </c>
    </row>
    <row r="7" spans="1:14" x14ac:dyDescent="0.3">
      <c r="A7" s="3" t="s">
        <v>15</v>
      </c>
      <c r="B7" s="4">
        <v>-194560</v>
      </c>
      <c r="F7" s="3" t="s">
        <v>15</v>
      </c>
      <c r="G7" s="4">
        <v>-48624</v>
      </c>
    </row>
    <row r="8" spans="1:14" x14ac:dyDescent="0.3">
      <c r="A8" s="3" t="s">
        <v>168</v>
      </c>
      <c r="B8" s="4">
        <v>-121876</v>
      </c>
      <c r="F8" s="3" t="s">
        <v>168</v>
      </c>
      <c r="G8" s="4">
        <v>321388</v>
      </c>
    </row>
    <row r="11" spans="1:14" x14ac:dyDescent="0.3">
      <c r="A11" s="8" t="s">
        <v>174</v>
      </c>
      <c r="B11" s="8"/>
      <c r="C11" s="8"/>
    </row>
    <row r="12" spans="1:14" x14ac:dyDescent="0.3">
      <c r="A12" s="2" t="s">
        <v>167</v>
      </c>
      <c r="B12" t="s">
        <v>172</v>
      </c>
      <c r="C12" t="s">
        <v>171</v>
      </c>
    </row>
    <row r="13" spans="1:14" x14ac:dyDescent="0.3">
      <c r="A13" s="3">
        <v>1</v>
      </c>
      <c r="B13" s="4">
        <v>5277560</v>
      </c>
      <c r="C13" s="4">
        <v>5318000</v>
      </c>
    </row>
    <row r="14" spans="1:14" x14ac:dyDescent="0.3">
      <c r="A14" s="3">
        <v>2</v>
      </c>
      <c r="B14" s="4">
        <v>4784820</v>
      </c>
      <c r="C14" s="4">
        <v>4835080</v>
      </c>
    </row>
    <row r="15" spans="1:14" x14ac:dyDescent="0.3">
      <c r="A15" s="3">
        <v>3</v>
      </c>
      <c r="B15" s="4">
        <v>5405424</v>
      </c>
      <c r="C15" s="4">
        <v>5436600</v>
      </c>
      <c r="F15" s="9" t="s">
        <v>176</v>
      </c>
      <c r="G15" s="9"/>
      <c r="H15" s="9"/>
      <c r="I15" s="9"/>
      <c r="J15" s="9"/>
      <c r="K15" s="9"/>
      <c r="L15" s="9"/>
      <c r="M15" s="9"/>
      <c r="N15" s="9"/>
    </row>
    <row r="16" spans="1:14" x14ac:dyDescent="0.3">
      <c r="A16" s="3" t="s">
        <v>168</v>
      </c>
      <c r="B16" s="4">
        <v>15467804</v>
      </c>
      <c r="C16" s="4">
        <v>15589680</v>
      </c>
    </row>
    <row r="17" spans="6:8" x14ac:dyDescent="0.3">
      <c r="F17" s="13" t="s">
        <v>177</v>
      </c>
    </row>
    <row r="18" spans="6:8" x14ac:dyDescent="0.3">
      <c r="F18" s="5" t="s">
        <v>179</v>
      </c>
      <c r="G18" s="5"/>
      <c r="H18">
        <f>SUM(Table1[Budget_Revenue])</f>
        <v>15589680</v>
      </c>
    </row>
    <row r="19" spans="6:8" x14ac:dyDescent="0.3">
      <c r="F19" s="5" t="s">
        <v>180</v>
      </c>
      <c r="G19" s="5"/>
      <c r="H19">
        <f>SUM(Table1[Actual_Revenue])</f>
        <v>15467804</v>
      </c>
    </row>
    <row r="21" spans="6:8" x14ac:dyDescent="0.3">
      <c r="F21" s="12" t="s">
        <v>181</v>
      </c>
    </row>
    <row r="22" spans="6:8" x14ac:dyDescent="0.3">
      <c r="F22" t="s">
        <v>182</v>
      </c>
      <c r="H22">
        <f>SUM(Table1[Budget_Expense])</f>
        <v>9145080</v>
      </c>
    </row>
    <row r="23" spans="6:8" x14ac:dyDescent="0.3">
      <c r="F23" t="s">
        <v>183</v>
      </c>
      <c r="H23">
        <f>SUM(Table1[Actual_Expense])</f>
        <v>9466468</v>
      </c>
    </row>
    <row r="25" spans="6:8" x14ac:dyDescent="0.3">
      <c r="F25" s="5" t="s">
        <v>184</v>
      </c>
      <c r="G25" s="5"/>
      <c r="H25">
        <f>SUM(Table1[Actual_Revenue])-SUM(Table1[Budget_Revenue])</f>
        <v>-121876</v>
      </c>
    </row>
    <row r="26" spans="6:8" x14ac:dyDescent="0.3">
      <c r="F26" t="s">
        <v>185</v>
      </c>
      <c r="H26">
        <f>SUM(Table1[Expense_Variance])</f>
        <v>321388</v>
      </c>
    </row>
    <row r="27" spans="6:8" x14ac:dyDescent="0.3">
      <c r="F27" s="11" t="s">
        <v>186</v>
      </c>
      <c r="H27">
        <f>((H19-H18)/H18)*100</f>
        <v>-0.78177358355014348</v>
      </c>
    </row>
    <row r="28" spans="6:8" x14ac:dyDescent="0.3">
      <c r="F28" s="10"/>
    </row>
    <row r="29" spans="6:8" x14ac:dyDescent="0.3">
      <c r="F29" s="11" t="s">
        <v>187</v>
      </c>
      <c r="H29">
        <f>AVERAGE(Table1[profit_margin])</f>
        <v>0.38869767469039473</v>
      </c>
    </row>
  </sheetData>
  <mergeCells count="7">
    <mergeCell ref="F25:G25"/>
    <mergeCell ref="F15:N15"/>
    <mergeCell ref="A11:C11"/>
    <mergeCell ref="F18:G18"/>
    <mergeCell ref="F19:G19"/>
    <mergeCell ref="A2:C2"/>
    <mergeCell ref="F2:M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finance_clean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Gouthami Vadla</dc:creator>
  <cp:lastModifiedBy>Gouthami Vadla</cp:lastModifiedBy>
  <dcterms:created xsi:type="dcterms:W3CDTF">2026-09-13T15:02:47Z</dcterms:created>
  <dcterms:modified xsi:type="dcterms:W3CDTF">2026-09-13T17:21:52Z</dcterms:modified>
</cp:coreProperties>
</file>